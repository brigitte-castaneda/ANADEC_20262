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defaultThemeVersion="166925"/>
  <mc:AlternateContent xmlns:mc="http://schemas.openxmlformats.org/markup-compatibility/2006">
    <mc:Choice Requires="x15">
      <x15ac:absPath xmlns:x15ac="http://schemas.microsoft.com/office/spreadsheetml/2010/11/ac" url="https://d.docs.live.net/3b3de938b0c8e185/Documents/Personal/Academia - Uniandes/ANADEC/PPT/"/>
    </mc:Choice>
  </mc:AlternateContent>
  <xr:revisionPtr revIDLastSave="467" documentId="13_ncr:1_{CBD5A44B-E84B-404A-876A-0D3E107E48AA}" xr6:coauthVersionLast="47" xr6:coauthVersionMax="47" xr10:uidLastSave="{2748F439-DE70-42C8-BC58-66199C15A4CE}"/>
  <bookViews>
    <workbookView xWindow="-120" yWindow="-120" windowWidth="29040" windowHeight="15720" xr2:uid="{00000000-000D-0000-FFFF-FFFF00000000}"/>
  </bookViews>
  <sheets>
    <sheet name="FCL + GS"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9" i="2" l="1"/>
  <c r="P31" i="2"/>
  <c r="F30" i="2"/>
  <c r="G30" i="2" s="1"/>
  <c r="F26" i="2"/>
  <c r="F16" i="2"/>
  <c r="G6" i="2"/>
  <c r="G9" i="2" s="1"/>
  <c r="H30" i="2" l="1"/>
  <c r="G31" i="2"/>
  <c r="I6" i="2"/>
  <c r="I9" i="2" s="1"/>
  <c r="G11" i="2"/>
  <c r="G26" i="2"/>
  <c r="H26" i="2" l="1"/>
  <c r="H6" i="2"/>
  <c r="H9" i="2" s="1"/>
  <c r="G16" i="2"/>
  <c r="I11" i="2"/>
  <c r="I26" i="2"/>
  <c r="J26" i="2"/>
  <c r="I30" i="2"/>
  <c r="H31" i="2"/>
  <c r="I16" i="2" l="1"/>
  <c r="H11" i="2"/>
  <c r="H16" i="2" s="1"/>
  <c r="J6" i="2"/>
  <c r="J9" i="2" s="1"/>
  <c r="J11" i="2" s="1"/>
  <c r="I31" i="2"/>
  <c r="J30" i="2"/>
  <c r="J16" i="2" l="1"/>
  <c r="K6" i="2"/>
  <c r="K9" i="2" s="1"/>
  <c r="K26" i="2"/>
  <c r="K30" i="2"/>
  <c r="J31" i="2"/>
  <c r="L6" i="2" l="1"/>
  <c r="L9" i="2" s="1"/>
  <c r="L11" i="2" s="1"/>
  <c r="L30" i="2"/>
  <c r="K31" i="2"/>
  <c r="K11" i="2"/>
  <c r="L26" i="2"/>
  <c r="M6" i="2" l="1"/>
  <c r="M9" i="2" s="1"/>
  <c r="L16" i="2"/>
  <c r="M26" i="2"/>
  <c r="K16" i="2"/>
  <c r="M30" i="2"/>
  <c r="L31" i="2"/>
  <c r="N26" i="2" l="1"/>
  <c r="M11" i="2"/>
  <c r="M16" i="2" s="1"/>
  <c r="N6" i="2"/>
  <c r="N9" i="2" s="1"/>
  <c r="N30" i="2"/>
  <c r="M31" i="2"/>
  <c r="N11" i="2"/>
  <c r="N16" i="2" s="1"/>
  <c r="N31" i="2" l="1"/>
  <c r="O30" i="2"/>
  <c r="O31" i="2" l="1"/>
  <c r="P30" i="2"/>
</calcChain>
</file>

<file path=xl/sharedStrings.xml><?xml version="1.0" encoding="utf-8"?>
<sst xmlns="http://schemas.openxmlformats.org/spreadsheetml/2006/main" count="37" uniqueCount="35">
  <si>
    <r>
      <rPr>
        <b/>
        <sz val="10"/>
        <color rgb="FF548235"/>
        <rFont val="Century Gothic"/>
      </rPr>
      <t xml:space="preserve">Usted va a invertir en un proyecto de inversión a ocho (8) años donde venderá ropa deportiva.
Para llevar a cabo el proyecto, se debe hacer una inversión en el año 0 por concepto de maquinaria de confección avaluada en 100 millones de dólares. Esta maquinaria se deprecia en línea recta a 10 años con valor de salvamento de 10 millones de dólares. Usted espera vender la maquinaria en el año ocho (8) a 25 millones de dólares.
Se estima que las ventas totales de ropa deportiva para el primer año de operación sean de 45 millones de dólares y a partir del segundo año, se incrementen 2% con respecto al año anterior.
Se estima que los costos operacionales sean el 40% de los ingresos, que la nómina sea de 4 millones de dólares y que el arriendo del local sea de 8 millones de dólares. Estos dos últimos serán constantes durante toda la vida útil del proyecto de inversión.
En el año 0 usted debe comprar inventario de materia prima por 5 millones de dólares. Este inventario se mantendrá constante durante toda la vida útil del proyecto de inversión. 
Cada año, las cuentas por cobrar serán el 20% de los ingresos.
El periodo de pago (días) es de 162 días con respecto al costo de ventas. Asuma que un año tiene 360 días.
</t>
    </r>
    <r>
      <rPr>
        <b/>
        <sz val="10"/>
        <color rgb="FF305496"/>
        <rFont val="Century Gothic"/>
      </rPr>
      <t xml:space="preserve">Adicional, usted está evaluando la opción de que su negocio sea operado como una franquicia después del año ocho (8). Esta alternativa le promete que en el año nueve (9) usted recibirá un FCL de 16 millones y desde el año diez (10) ese valor incrementará anualmente 3% indefinidamente.
</t>
    </r>
    <r>
      <rPr>
        <b/>
        <sz val="10"/>
        <color rgb="FF548235"/>
        <rFont val="Century Gothic"/>
      </rPr>
      <t xml:space="preserve">
Su costo de oportunidad es del 5% E.S. y la tasa impositiva es del 35%.
</t>
    </r>
    <r>
      <rPr>
        <b/>
        <sz val="10"/>
        <color rgb="FFFF0000"/>
        <rFont val="Century Gothic"/>
      </rPr>
      <t xml:space="preserve">
</t>
    </r>
    <r>
      <rPr>
        <b/>
        <sz val="10"/>
        <color rgb="FFC00000"/>
        <rFont val="Century Gothic"/>
      </rPr>
      <t>¿Debería realizar el proyecto si el horizonte es de 8 años? ¿debería realizarlo si además toma la opción de la franquicia?</t>
    </r>
  </si>
  <si>
    <t>Flujo de Caja Libre</t>
  </si>
  <si>
    <t>Periodo</t>
  </si>
  <si>
    <t>Ingresos Operacionales</t>
  </si>
  <si>
    <t>(-) Costo de Ventas</t>
  </si>
  <si>
    <t>Utilidad Bruta</t>
  </si>
  <si>
    <t>(-) Gastos AOM</t>
  </si>
  <si>
    <t>(-) Depreciación</t>
  </si>
  <si>
    <t>Utilidad Operacional</t>
  </si>
  <si>
    <t>(+) Depreciación</t>
  </si>
  <si>
    <t>EBITDA</t>
  </si>
  <si>
    <t>(-) Variación WK</t>
  </si>
  <si>
    <t>(-) Variación CAPEX</t>
  </si>
  <si>
    <t>(-) Impuesto Operacional</t>
  </si>
  <si>
    <t>(-) Impuesto Ocasional</t>
  </si>
  <si>
    <t>FCL</t>
  </si>
  <si>
    <t>VPN</t>
  </si>
  <si>
    <t>C.O.</t>
  </si>
  <si>
    <t>TIR</t>
  </si>
  <si>
    <t>Tasa Impositiva</t>
  </si>
  <si>
    <t>Capital de Trabajo</t>
  </si>
  <si>
    <t>CxC</t>
  </si>
  <si>
    <t>Inventario</t>
  </si>
  <si>
    <t>CxP</t>
  </si>
  <si>
    <t>WK</t>
  </si>
  <si>
    <t>Depreciación del Periodo</t>
  </si>
  <si>
    <t xml:space="preserve">Depreciación Acumulada </t>
  </si>
  <si>
    <t>Valor en Libros</t>
  </si>
  <si>
    <t>Gordon-Shapiro</t>
  </si>
  <si>
    <t>D1</t>
  </si>
  <si>
    <t>g</t>
  </si>
  <si>
    <t>k</t>
  </si>
  <si>
    <t>Valor Gordon Shapiro</t>
  </si>
  <si>
    <t>VP (0)</t>
  </si>
  <si>
    <t>VPN con Gordon - Shapiro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</si>
</sst>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 #,##0_-;\-&quot;$&quot;\ * #,##0_-;_-&quot;$&quot;\ * &quot;-&quot;_-;_-@_-"/>
    <numFmt numFmtId="165" formatCode="_-&quot;$&quot;\ * #,##0.00_-;\-&quot;$&quot;\ * #,##0.00_-;_-&quot;$&quot;\ * &quot;-&quot;??_-;_-@_-"/>
    <numFmt numFmtId="166" formatCode="_-&quot;$&quot;* #,##0.00_-;\-&quot;$&quot;* #,##0.00_-;_-&quot;$&quot;* &quot;-&quot;??_-;_-@_-"/>
    <numFmt numFmtId="167" formatCode="&quot;$&quot;\ #,##0.00"/>
    <numFmt numFmtId="168" formatCode="_-&quot;$&quot;\ * #,##0.00_-;\-&quot;$&quot;\ * #,##0.00_-;_-&quot;$&quot;\ * &quot;-&quot;_-;_-@_-"/>
  </numFmts>
  <fonts count="18">
    <font>
      <sz val="11"/>
      <color theme="1"/>
      <name val="Calibri"/>
      <family val="2"/>
      <scheme val="minor"/>
    </font>
    <font>
      <sz val="11"/>
      <color theme="1"/>
      <name val="Calibri"/>
      <family val="2"/>
      <scheme val="minor"/>
    </font>
    <font>
      <sz val="11"/>
      <color theme="1"/>
      <name val="Century Gothic"/>
      <family val="2"/>
    </font>
    <font>
      <sz val="11"/>
      <color rgb="FF000000"/>
      <name val="Century Gothic"/>
      <family val="2"/>
    </font>
    <font>
      <sz val="11"/>
      <name val="Century Gothic"/>
      <family val="2"/>
    </font>
    <font>
      <b/>
      <sz val="11"/>
      <color theme="9" tint="-0.249977111117893"/>
      <name val="Century Gothic"/>
      <family val="2"/>
    </font>
    <font>
      <b/>
      <sz val="11"/>
      <color theme="0"/>
      <name val="Century Gothic"/>
      <family val="2"/>
    </font>
    <font>
      <b/>
      <sz val="11"/>
      <color rgb="FFFFFFFF"/>
      <name val="Century Gothic"/>
      <family val="1"/>
    </font>
    <font>
      <b/>
      <sz val="11"/>
      <color theme="0"/>
      <name val="Century Gothic"/>
      <family val="1"/>
    </font>
    <font>
      <b/>
      <sz val="11"/>
      <color theme="9" tint="-0.249977111117893"/>
      <name val="Century Gothic"/>
      <family val="1"/>
    </font>
    <font>
      <sz val="11"/>
      <color rgb="FFFF0000"/>
      <name val="Century Gothic"/>
      <family val="2"/>
    </font>
    <font>
      <b/>
      <sz val="10"/>
      <color theme="1"/>
      <name val="Century Gothic"/>
      <family val="2"/>
    </font>
    <font>
      <b/>
      <sz val="11"/>
      <color theme="4" tint="-0.249977111117893"/>
      <name val="Century Gothic"/>
      <family val="2"/>
    </font>
    <font>
      <b/>
      <sz val="10"/>
      <color rgb="FF548235"/>
      <name val="Century Gothic"/>
    </font>
    <font>
      <b/>
      <sz val="10"/>
      <color rgb="FF305496"/>
      <name val="Century Gothic"/>
    </font>
    <font>
      <b/>
      <sz val="10"/>
      <color rgb="FFFF0000"/>
      <name val="Century Gothic"/>
    </font>
    <font>
      <b/>
      <sz val="10"/>
      <color rgb="FFC00000"/>
      <name val="Century Gothic"/>
    </font>
    <font>
      <b/>
      <sz val="10"/>
      <color theme="1"/>
      <name val="Century Gothic"/>
    </font>
  </fonts>
  <fills count="6">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tint="-0.249977111117893"/>
        <bgColor indexed="64"/>
      </patternFill>
    </fill>
  </fills>
  <borders count="6">
    <border>
      <left/>
      <right/>
      <top/>
      <bottom/>
      <diagonal/>
    </border>
    <border>
      <left/>
      <right style="double">
        <color theme="9" tint="-0.249977111117893"/>
      </right>
      <top/>
      <bottom/>
      <diagonal/>
    </border>
    <border>
      <left/>
      <right/>
      <top/>
      <bottom style="double">
        <color theme="9" tint="-0.249977111117893"/>
      </bottom>
      <diagonal/>
    </border>
    <border>
      <left style="medium">
        <color theme="9" tint="-0.499984740745262"/>
      </left>
      <right style="medium">
        <color theme="9" tint="-0.499984740745262"/>
      </right>
      <top style="medium">
        <color theme="9" tint="-0.499984740745262"/>
      </top>
      <bottom style="medium">
        <color theme="9" tint="-0.499984740745262"/>
      </bottom>
      <diagonal/>
    </border>
    <border>
      <left/>
      <right style="medium">
        <color theme="9" tint="-0.499984740745262"/>
      </right>
      <top style="medium">
        <color theme="9" tint="-0.499984740745262"/>
      </top>
      <bottom style="medium">
        <color theme="9" tint="-0.499984740745262"/>
      </bottom>
      <diagonal/>
    </border>
    <border>
      <left style="medium">
        <color theme="9" tint="-0.499984740745262"/>
      </left>
      <right style="medium">
        <color theme="9" tint="-0.499984740745262"/>
      </right>
      <top/>
      <bottom style="medium">
        <color theme="9" tint="-0.499984740745262"/>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40">
    <xf numFmtId="0" fontId="0" fillId="0" borderId="0" xfId="0"/>
    <xf numFmtId="0" fontId="2" fillId="2" borderId="0" xfId="0" applyFont="1" applyFill="1"/>
    <xf numFmtId="0" fontId="3" fillId="2" borderId="0" xfId="0" applyFont="1" applyFill="1" applyAlignment="1">
      <alignment horizontal="left" wrapText="1" readingOrder="1"/>
    </xf>
    <xf numFmtId="0" fontId="2" fillId="2" borderId="1" xfId="0" applyFont="1" applyFill="1" applyBorder="1"/>
    <xf numFmtId="0" fontId="5" fillId="2" borderId="0" xfId="0" applyFont="1" applyFill="1" applyAlignment="1">
      <alignment horizontal="left" wrapText="1" readingOrder="1"/>
    </xf>
    <xf numFmtId="0" fontId="5" fillId="2" borderId="0" xfId="0" applyFont="1" applyFill="1"/>
    <xf numFmtId="167" fontId="3" fillId="2" borderId="0" xfId="0" applyNumberFormat="1" applyFont="1" applyFill="1" applyAlignment="1">
      <alignment horizontal="center" wrapText="1" readingOrder="1"/>
    </xf>
    <xf numFmtId="0" fontId="3" fillId="2" borderId="2" xfId="0" applyFont="1" applyFill="1" applyBorder="1" applyAlignment="1">
      <alignment horizontal="left" wrapText="1" readingOrder="1"/>
    </xf>
    <xf numFmtId="167" fontId="4" fillId="2" borderId="0" xfId="0" applyNumberFormat="1" applyFont="1" applyFill="1" applyAlignment="1">
      <alignment horizontal="center" vertical="center" wrapText="1"/>
    </xf>
    <xf numFmtId="167" fontId="4" fillId="2" borderId="2" xfId="0" applyNumberFormat="1" applyFont="1" applyFill="1" applyBorder="1" applyAlignment="1">
      <alignment horizontal="center" vertical="center" wrapText="1"/>
    </xf>
    <xf numFmtId="10" fontId="2" fillId="2" borderId="0" xfId="1" applyNumberFormat="1" applyFont="1" applyFill="1"/>
    <xf numFmtId="0" fontId="7" fillId="3" borderId="0" xfId="0" applyFont="1" applyFill="1" applyAlignment="1">
      <alignment horizontal="center" wrapText="1" readingOrder="1"/>
    </xf>
    <xf numFmtId="0" fontId="8" fillId="3" borderId="0" xfId="0" applyFont="1" applyFill="1" applyAlignment="1">
      <alignment horizontal="center" wrapText="1" readingOrder="1"/>
    </xf>
    <xf numFmtId="10" fontId="5" fillId="2" borderId="4" xfId="1" applyNumberFormat="1" applyFont="1" applyFill="1" applyBorder="1" applyAlignment="1">
      <alignment horizontal="center"/>
    </xf>
    <xf numFmtId="0" fontId="6" fillId="3" borderId="3" xfId="0" applyFont="1" applyFill="1" applyBorder="1" applyAlignment="1">
      <alignment horizontal="center"/>
    </xf>
    <xf numFmtId="0" fontId="6" fillId="3" borderId="5" xfId="0" applyFont="1" applyFill="1" applyBorder="1" applyAlignment="1">
      <alignment horizontal="center"/>
    </xf>
    <xf numFmtId="167" fontId="5" fillId="2" borderId="3" xfId="0" applyNumberFormat="1" applyFont="1" applyFill="1" applyBorder="1" applyAlignment="1">
      <alignment horizontal="center"/>
    </xf>
    <xf numFmtId="10" fontId="5" fillId="2" borderId="5" xfId="1" applyNumberFormat="1" applyFont="1" applyFill="1" applyBorder="1" applyAlignment="1">
      <alignment horizontal="center"/>
    </xf>
    <xf numFmtId="164" fontId="2" fillId="2" borderId="0" xfId="2" applyFont="1" applyFill="1"/>
    <xf numFmtId="168" fontId="2" fillId="2" borderId="0" xfId="2" applyNumberFormat="1" applyFont="1" applyFill="1"/>
    <xf numFmtId="168" fontId="3" fillId="2" borderId="0" xfId="0" applyNumberFormat="1" applyFont="1" applyFill="1" applyAlignment="1">
      <alignment horizontal="center" wrapText="1" readingOrder="1"/>
    </xf>
    <xf numFmtId="168" fontId="3" fillId="2" borderId="2" xfId="0" applyNumberFormat="1" applyFont="1" applyFill="1" applyBorder="1" applyAlignment="1">
      <alignment horizontal="center" wrapText="1" readingOrder="1"/>
    </xf>
    <xf numFmtId="168" fontId="5" fillId="2" borderId="0" xfId="0" applyNumberFormat="1" applyFont="1" applyFill="1" applyAlignment="1">
      <alignment horizontal="center" wrapText="1" readingOrder="1"/>
    </xf>
    <xf numFmtId="168" fontId="2" fillId="2" borderId="0" xfId="0" applyNumberFormat="1" applyFont="1" applyFill="1"/>
    <xf numFmtId="168" fontId="5" fillId="2" borderId="0" xfId="0" applyNumberFormat="1" applyFont="1" applyFill="1"/>
    <xf numFmtId="168" fontId="5" fillId="2" borderId="0" xfId="0" applyNumberFormat="1" applyFont="1" applyFill="1" applyAlignment="1">
      <alignment horizontal="center"/>
    </xf>
    <xf numFmtId="0" fontId="9" fillId="4" borderId="0" xfId="0" applyFont="1" applyFill="1" applyAlignment="1">
      <alignment horizontal="center" wrapText="1" readingOrder="1"/>
    </xf>
    <xf numFmtId="167" fontId="9" fillId="4" borderId="0" xfId="0" applyNumberFormat="1" applyFont="1" applyFill="1" applyAlignment="1">
      <alignment horizontal="center" wrapText="1" readingOrder="1"/>
    </xf>
    <xf numFmtId="168" fontId="9" fillId="4" borderId="0" xfId="0" applyNumberFormat="1" applyFont="1" applyFill="1" applyAlignment="1">
      <alignment horizontal="center" wrapText="1" readingOrder="1"/>
    </xf>
    <xf numFmtId="166" fontId="2" fillId="2" borderId="0" xfId="0" applyNumberFormat="1" applyFont="1" applyFill="1"/>
    <xf numFmtId="168" fontId="10" fillId="2" borderId="0" xfId="0" applyNumberFormat="1" applyFont="1" applyFill="1"/>
    <xf numFmtId="165" fontId="2" fillId="2" borderId="0" xfId="0" applyNumberFormat="1" applyFont="1" applyFill="1"/>
    <xf numFmtId="9" fontId="2" fillId="2" borderId="0" xfId="0" applyNumberFormat="1" applyFont="1" applyFill="1"/>
    <xf numFmtId="10" fontId="2" fillId="2" borderId="0" xfId="0" applyNumberFormat="1" applyFont="1" applyFill="1"/>
    <xf numFmtId="0" fontId="12" fillId="2" borderId="0" xfId="0" applyFont="1" applyFill="1"/>
    <xf numFmtId="165" fontId="12" fillId="2" borderId="0" xfId="0" applyNumberFormat="1" applyFont="1" applyFill="1"/>
    <xf numFmtId="0" fontId="17" fillId="2" borderId="0" xfId="0" applyFont="1" applyFill="1" applyAlignment="1">
      <alignment horizontal="center" vertical="center" wrapText="1"/>
    </xf>
    <xf numFmtId="0" fontId="11" fillId="2" borderId="0" xfId="0" applyFont="1" applyFill="1" applyAlignment="1">
      <alignment horizontal="center" vertical="center" wrapText="1"/>
    </xf>
    <xf numFmtId="0" fontId="5" fillId="2" borderId="0" xfId="0" applyFont="1" applyFill="1" applyAlignment="1">
      <alignment horizontal="center"/>
    </xf>
    <xf numFmtId="0" fontId="8" fillId="5" borderId="0" xfId="0" applyFont="1" applyFill="1" applyAlignment="1">
      <alignment horizontal="center" wrapText="1" readingOrder="1"/>
    </xf>
  </cellXfs>
  <cellStyles count="3">
    <cellStyle name="Moneda [0]" xfId="2" builtinId="7"/>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A0151-2958-4ECA-930C-B1DB71655B9C}">
  <dimension ref="B1:P39"/>
  <sheetViews>
    <sheetView tabSelected="1" topLeftCell="A9" zoomScale="110" zoomScaleNormal="110" workbookViewId="0">
      <selection activeCell="H19" sqref="H19"/>
    </sheetView>
  </sheetViews>
  <sheetFormatPr defaultColWidth="11.42578125" defaultRowHeight="16.5"/>
  <cols>
    <col min="1" max="1" width="5.7109375" style="1" customWidth="1"/>
    <col min="2" max="2" width="78.28515625" style="1" customWidth="1"/>
    <col min="3" max="4" width="5.7109375" style="1" customWidth="1"/>
    <col min="5" max="5" width="39.28515625" style="1" bestFit="1" customWidth="1"/>
    <col min="6" max="7" width="12.7109375" style="1" customWidth="1"/>
    <col min="8" max="8" width="16.42578125" style="1" bestFit="1" customWidth="1"/>
    <col min="9" max="11" width="12.7109375" style="1" customWidth="1"/>
    <col min="12" max="16384" width="11.42578125" style="1"/>
  </cols>
  <sheetData>
    <row r="1" spans="2:14">
      <c r="C1" s="3"/>
    </row>
    <row r="2" spans="2:14" ht="17.45" customHeight="1">
      <c r="B2" s="36" t="s">
        <v>0</v>
      </c>
      <c r="C2" s="3"/>
      <c r="E2" s="38" t="s">
        <v>1</v>
      </c>
      <c r="F2" s="38"/>
      <c r="G2" s="38"/>
      <c r="H2" s="38"/>
      <c r="I2" s="38"/>
      <c r="J2" s="38"/>
      <c r="K2" s="38"/>
    </row>
    <row r="3" spans="2:14" ht="17.45" customHeight="1">
      <c r="B3" s="37"/>
      <c r="C3" s="3"/>
      <c r="E3" s="11" t="s">
        <v>2</v>
      </c>
      <c r="F3" s="11">
        <v>0</v>
      </c>
      <c r="G3" s="11">
        <v>1</v>
      </c>
      <c r="H3" s="11">
        <v>2</v>
      </c>
      <c r="I3" s="11">
        <v>3</v>
      </c>
      <c r="J3" s="11">
        <v>4</v>
      </c>
      <c r="K3" s="11">
        <v>5</v>
      </c>
      <c r="L3" s="11">
        <v>6</v>
      </c>
      <c r="M3" s="11">
        <v>7</v>
      </c>
      <c r="N3" s="11">
        <v>8</v>
      </c>
    </row>
    <row r="4" spans="2:14" ht="17.45" customHeight="1">
      <c r="B4" s="37"/>
      <c r="C4" s="3"/>
      <c r="E4" s="2" t="s">
        <v>3</v>
      </c>
      <c r="F4" s="20"/>
      <c r="G4" s="19"/>
      <c r="H4" s="20"/>
      <c r="I4" s="20"/>
      <c r="J4" s="20"/>
      <c r="K4" s="20"/>
      <c r="L4" s="20"/>
      <c r="M4" s="20"/>
      <c r="N4" s="20"/>
    </row>
    <row r="5" spans="2:14" ht="17.45" customHeight="1">
      <c r="B5" s="37"/>
      <c r="C5" s="3"/>
      <c r="E5" s="7" t="s">
        <v>4</v>
      </c>
      <c r="F5" s="21"/>
      <c r="G5" s="21"/>
      <c r="H5" s="21"/>
      <c r="I5" s="21"/>
      <c r="J5" s="21"/>
      <c r="K5" s="21"/>
      <c r="L5" s="21"/>
      <c r="M5" s="21"/>
      <c r="N5" s="21"/>
    </row>
    <row r="6" spans="2:14" ht="17.45" customHeight="1" thickTop="1">
      <c r="B6" s="37"/>
      <c r="C6" s="3"/>
      <c r="E6" s="4" t="s">
        <v>5</v>
      </c>
      <c r="F6" s="22"/>
      <c r="G6" s="22">
        <f>G4-G5</f>
        <v>0</v>
      </c>
      <c r="H6" s="22">
        <f>H4-H5</f>
        <v>0</v>
      </c>
      <c r="I6" s="22">
        <f t="shared" ref="I6:M6" si="0">I4-I5</f>
        <v>0</v>
      </c>
      <c r="J6" s="22">
        <f t="shared" si="0"/>
        <v>0</v>
      </c>
      <c r="K6" s="22">
        <f t="shared" si="0"/>
        <v>0</v>
      </c>
      <c r="L6" s="22">
        <f t="shared" si="0"/>
        <v>0</v>
      </c>
      <c r="M6" s="22">
        <f t="shared" si="0"/>
        <v>0</v>
      </c>
      <c r="N6" s="22">
        <f>N4-N5</f>
        <v>0</v>
      </c>
    </row>
    <row r="7" spans="2:14" ht="17.45" customHeight="1">
      <c r="B7" s="37"/>
      <c r="C7" s="3"/>
      <c r="E7" s="1" t="s">
        <v>6</v>
      </c>
      <c r="F7" s="30"/>
      <c r="G7" s="23"/>
      <c r="H7" s="23"/>
      <c r="I7" s="23"/>
      <c r="J7" s="23"/>
      <c r="K7" s="23"/>
      <c r="L7" s="23"/>
      <c r="M7" s="23"/>
      <c r="N7" s="23"/>
    </row>
    <row r="8" spans="2:14" ht="17.45" customHeight="1">
      <c r="B8" s="37"/>
      <c r="C8" s="3"/>
      <c r="E8" s="7" t="s">
        <v>7</v>
      </c>
      <c r="F8" s="21"/>
      <c r="G8" s="21"/>
      <c r="H8" s="21"/>
      <c r="I8" s="21"/>
      <c r="J8" s="21"/>
      <c r="K8" s="21"/>
      <c r="L8" s="21"/>
      <c r="M8" s="21"/>
      <c r="N8" s="21"/>
    </row>
    <row r="9" spans="2:14" ht="17.45" customHeight="1" thickTop="1">
      <c r="B9" s="37"/>
      <c r="C9" s="3"/>
      <c r="E9" s="4" t="s">
        <v>8</v>
      </c>
      <c r="F9" s="22"/>
      <c r="G9" s="22">
        <f>G6-G7-G8</f>
        <v>0</v>
      </c>
      <c r="H9" s="22">
        <f t="shared" ref="H9:N9" si="1">H6-H7-H8</f>
        <v>0</v>
      </c>
      <c r="I9" s="22">
        <f t="shared" si="1"/>
        <v>0</v>
      </c>
      <c r="J9" s="22">
        <f t="shared" si="1"/>
        <v>0</v>
      </c>
      <c r="K9" s="22">
        <f t="shared" si="1"/>
        <v>0</v>
      </c>
      <c r="L9" s="22">
        <f t="shared" si="1"/>
        <v>0</v>
      </c>
      <c r="M9" s="22">
        <f t="shared" si="1"/>
        <v>0</v>
      </c>
      <c r="N9" s="22">
        <f t="shared" si="1"/>
        <v>0</v>
      </c>
    </row>
    <row r="10" spans="2:14" ht="17.45" customHeight="1">
      <c r="B10" s="37"/>
      <c r="C10" s="3"/>
      <c r="E10" s="7" t="s">
        <v>9</v>
      </c>
      <c r="F10" s="21"/>
      <c r="G10" s="21"/>
      <c r="H10" s="21"/>
      <c r="I10" s="21"/>
      <c r="J10" s="21"/>
      <c r="K10" s="21"/>
      <c r="L10" s="21"/>
      <c r="M10" s="21"/>
      <c r="N10" s="21"/>
    </row>
    <row r="11" spans="2:14" ht="17.45" customHeight="1" thickTop="1">
      <c r="B11" s="37"/>
      <c r="C11" s="3"/>
      <c r="E11" s="5" t="s">
        <v>10</v>
      </c>
      <c r="F11" s="24"/>
      <c r="G11" s="25">
        <f>G9+G10</f>
        <v>0</v>
      </c>
      <c r="H11" s="25">
        <f t="shared" ref="H11:N11" si="2">H9+H10</f>
        <v>0</v>
      </c>
      <c r="I11" s="25">
        <f t="shared" si="2"/>
        <v>0</v>
      </c>
      <c r="J11" s="25">
        <f t="shared" si="2"/>
        <v>0</v>
      </c>
      <c r="K11" s="25">
        <f t="shared" si="2"/>
        <v>0</v>
      </c>
      <c r="L11" s="25">
        <f t="shared" si="2"/>
        <v>0</v>
      </c>
      <c r="M11" s="25">
        <f t="shared" si="2"/>
        <v>0</v>
      </c>
      <c r="N11" s="25">
        <f t="shared" si="2"/>
        <v>0</v>
      </c>
    </row>
    <row r="12" spans="2:14" ht="17.45" customHeight="1">
      <c r="B12" s="37"/>
      <c r="C12" s="3"/>
      <c r="E12" s="2" t="s">
        <v>11</v>
      </c>
      <c r="F12" s="20"/>
      <c r="G12" s="20"/>
      <c r="H12" s="20"/>
      <c r="I12" s="20"/>
      <c r="J12" s="20"/>
      <c r="K12" s="20"/>
      <c r="L12" s="20"/>
      <c r="M12" s="20"/>
      <c r="N12" s="20"/>
    </row>
    <row r="13" spans="2:14" ht="17.45" customHeight="1">
      <c r="B13" s="37"/>
      <c r="C13" s="3"/>
      <c r="E13" s="2" t="s">
        <v>12</v>
      </c>
      <c r="F13" s="20"/>
      <c r="G13" s="20"/>
      <c r="H13" s="20"/>
      <c r="I13" s="20"/>
      <c r="J13" s="20"/>
      <c r="K13" s="20"/>
      <c r="L13" s="20"/>
      <c r="M13" s="20"/>
      <c r="N13" s="20"/>
    </row>
    <row r="14" spans="2:14" ht="17.45" customHeight="1">
      <c r="B14" s="37"/>
      <c r="C14" s="3"/>
      <c r="E14" s="2" t="s">
        <v>13</v>
      </c>
      <c r="G14" s="29"/>
      <c r="H14" s="29"/>
      <c r="I14" s="29"/>
      <c r="J14" s="29"/>
      <c r="K14" s="29"/>
      <c r="L14" s="29"/>
      <c r="M14" s="29"/>
      <c r="N14" s="29"/>
    </row>
    <row r="15" spans="2:14" ht="17.45" customHeight="1">
      <c r="B15" s="37"/>
      <c r="C15" s="3"/>
      <c r="E15" s="7" t="s">
        <v>14</v>
      </c>
      <c r="F15" s="21"/>
      <c r="G15" s="21"/>
      <c r="H15" s="21"/>
      <c r="I15" s="21"/>
      <c r="J15" s="21"/>
      <c r="K15" s="21"/>
      <c r="L15" s="21"/>
      <c r="M15" s="21"/>
      <c r="N15" s="21"/>
    </row>
    <row r="16" spans="2:14" ht="17.45" customHeight="1" thickTop="1">
      <c r="B16" s="37"/>
      <c r="C16" s="3"/>
      <c r="E16" s="26" t="s">
        <v>15</v>
      </c>
      <c r="F16" s="28">
        <f>F11-F12-F13-F14-F15</f>
        <v>0</v>
      </c>
      <c r="G16" s="28">
        <f t="shared" ref="G16:M16" si="3">G11-G12-G13-G14-G15</f>
        <v>0</v>
      </c>
      <c r="H16" s="28">
        <f t="shared" si="3"/>
        <v>0</v>
      </c>
      <c r="I16" s="28">
        <f t="shared" si="3"/>
        <v>0</v>
      </c>
      <c r="J16" s="28">
        <f t="shared" si="3"/>
        <v>0</v>
      </c>
      <c r="K16" s="28">
        <f t="shared" si="3"/>
        <v>0</v>
      </c>
      <c r="L16" s="28">
        <f t="shared" si="3"/>
        <v>0</v>
      </c>
      <c r="M16" s="28">
        <f t="shared" si="3"/>
        <v>0</v>
      </c>
      <c r="N16" s="28">
        <f>N11-N12-N13-N14-N15</f>
        <v>0</v>
      </c>
    </row>
    <row r="17" spans="2:16" ht="17.45" customHeight="1">
      <c r="B17" s="37"/>
      <c r="C17" s="3"/>
    </row>
    <row r="18" spans="2:16" ht="17.45" customHeight="1">
      <c r="B18" s="37"/>
      <c r="C18" s="3"/>
      <c r="E18" s="14" t="s">
        <v>16</v>
      </c>
      <c r="F18" s="16"/>
      <c r="H18" s="14" t="s">
        <v>17</v>
      </c>
      <c r="I18" s="13"/>
    </row>
    <row r="19" spans="2:16" ht="17.45" customHeight="1">
      <c r="B19" s="37"/>
      <c r="C19" s="3"/>
      <c r="E19" s="15" t="s">
        <v>18</v>
      </c>
      <c r="F19" s="17"/>
      <c r="H19" s="14" t="s">
        <v>19</v>
      </c>
      <c r="I19" s="13"/>
    </row>
    <row r="20" spans="2:16" ht="17.45" customHeight="1">
      <c r="B20" s="37"/>
      <c r="C20" s="3"/>
    </row>
    <row r="21" spans="2:16" ht="17.45" customHeight="1">
      <c r="B21" s="37"/>
      <c r="C21" s="3"/>
      <c r="E21" s="38" t="s">
        <v>20</v>
      </c>
      <c r="F21" s="38"/>
      <c r="G21" s="38"/>
      <c r="H21" s="38"/>
      <c r="I21" s="38"/>
      <c r="J21" s="38"/>
      <c r="K21" s="38"/>
    </row>
    <row r="22" spans="2:16" ht="17.45" customHeight="1">
      <c r="B22" s="37"/>
      <c r="C22" s="3"/>
      <c r="E22" s="12" t="s">
        <v>2</v>
      </c>
      <c r="F22" s="12">
        <v>0</v>
      </c>
      <c r="G22" s="12">
        <v>1</v>
      </c>
      <c r="H22" s="12">
        <v>2</v>
      </c>
      <c r="I22" s="12">
        <v>3</v>
      </c>
      <c r="J22" s="12">
        <v>4</v>
      </c>
      <c r="K22" s="12">
        <v>5</v>
      </c>
      <c r="L22" s="12">
        <v>6</v>
      </c>
      <c r="M22" s="12">
        <v>7</v>
      </c>
      <c r="N22" s="12">
        <v>8</v>
      </c>
    </row>
    <row r="23" spans="2:16" ht="17.45" customHeight="1">
      <c r="B23" s="37"/>
      <c r="C23" s="3"/>
      <c r="E23" s="2" t="s">
        <v>21</v>
      </c>
      <c r="F23" s="8"/>
      <c r="G23" s="8"/>
      <c r="H23" s="8"/>
      <c r="I23" s="8"/>
      <c r="J23" s="8"/>
      <c r="K23" s="8"/>
      <c r="L23" s="8"/>
      <c r="M23" s="8"/>
      <c r="N23" s="8"/>
    </row>
    <row r="24" spans="2:16" ht="17.45" customHeight="1">
      <c r="B24" s="37"/>
      <c r="C24" s="3"/>
      <c r="E24" s="2" t="s">
        <v>22</v>
      </c>
      <c r="F24" s="6"/>
      <c r="G24" s="6"/>
      <c r="H24" s="6"/>
      <c r="I24" s="6"/>
      <c r="J24" s="6"/>
      <c r="K24" s="6"/>
      <c r="L24" s="6"/>
      <c r="M24" s="6"/>
      <c r="N24" s="6"/>
    </row>
    <row r="25" spans="2:16" ht="17.45" customHeight="1">
      <c r="B25" s="37"/>
      <c r="C25" s="3"/>
      <c r="E25" s="7" t="s">
        <v>23</v>
      </c>
      <c r="F25" s="9"/>
      <c r="G25" s="9"/>
      <c r="H25" s="9"/>
      <c r="I25" s="9"/>
      <c r="J25" s="9"/>
      <c r="K25" s="9"/>
      <c r="L25" s="9"/>
      <c r="M25" s="9"/>
      <c r="N25" s="9"/>
    </row>
    <row r="26" spans="2:16" ht="17.45" customHeight="1" thickTop="1">
      <c r="B26" s="37"/>
      <c r="C26" s="3"/>
      <c r="E26" s="26" t="s">
        <v>24</v>
      </c>
      <c r="F26" s="27">
        <f>F23+F24-F25</f>
        <v>0</v>
      </c>
      <c r="G26" s="27">
        <f>G23+G24-G25</f>
        <v>0</v>
      </c>
      <c r="H26" s="27">
        <f t="shared" ref="H26:N26" si="4">H23+H24-H25</f>
        <v>0</v>
      </c>
      <c r="I26" s="27">
        <f t="shared" si="4"/>
        <v>0</v>
      </c>
      <c r="J26" s="27">
        <f t="shared" si="4"/>
        <v>0</v>
      </c>
      <c r="K26" s="27">
        <f t="shared" si="4"/>
        <v>0</v>
      </c>
      <c r="L26" s="27">
        <f t="shared" si="4"/>
        <v>0</v>
      </c>
      <c r="M26" s="27">
        <f t="shared" si="4"/>
        <v>0</v>
      </c>
      <c r="N26" s="27">
        <f t="shared" si="4"/>
        <v>0</v>
      </c>
    </row>
    <row r="27" spans="2:16" ht="17.45" customHeight="1">
      <c r="B27" s="37"/>
      <c r="C27" s="3"/>
      <c r="I27" s="10"/>
    </row>
    <row r="28" spans="2:16" ht="17.45" customHeight="1">
      <c r="B28" s="37"/>
      <c r="C28" s="3"/>
      <c r="E28" s="12" t="s">
        <v>2</v>
      </c>
      <c r="F28" s="12">
        <v>0</v>
      </c>
      <c r="G28" s="12">
        <v>1</v>
      </c>
      <c r="H28" s="12">
        <v>2</v>
      </c>
      <c r="I28" s="12">
        <v>3</v>
      </c>
      <c r="J28" s="12">
        <v>4</v>
      </c>
      <c r="K28" s="12">
        <v>5</v>
      </c>
      <c r="L28" s="12">
        <v>6</v>
      </c>
      <c r="M28" s="12">
        <v>7</v>
      </c>
      <c r="N28" s="12">
        <v>8</v>
      </c>
      <c r="O28" s="12">
        <v>9</v>
      </c>
      <c r="P28" s="12">
        <v>10</v>
      </c>
    </row>
    <row r="29" spans="2:16" ht="17.45" customHeight="1">
      <c r="B29" s="37"/>
      <c r="C29" s="3"/>
      <c r="E29" s="1" t="s">
        <v>25</v>
      </c>
      <c r="F29" s="18"/>
      <c r="G29" s="18"/>
      <c r="H29" s="18"/>
      <c r="I29" s="18"/>
      <c r="J29" s="18"/>
      <c r="K29" s="18"/>
      <c r="L29" s="18"/>
      <c r="M29" s="18"/>
      <c r="N29" s="18"/>
      <c r="O29" s="18"/>
      <c r="P29" s="18"/>
    </row>
    <row r="30" spans="2:16">
      <c r="E30" s="1" t="s">
        <v>26</v>
      </c>
      <c r="F30" s="18">
        <f>F29</f>
        <v>0</v>
      </c>
      <c r="G30" s="18">
        <f t="shared" ref="G30:P30" si="5">G29+F30</f>
        <v>0</v>
      </c>
      <c r="H30" s="18">
        <f t="shared" si="5"/>
        <v>0</v>
      </c>
      <c r="I30" s="18">
        <f t="shared" si="5"/>
        <v>0</v>
      </c>
      <c r="J30" s="18">
        <f t="shared" si="5"/>
        <v>0</v>
      </c>
      <c r="K30" s="18">
        <f t="shared" si="5"/>
        <v>0</v>
      </c>
      <c r="L30" s="18">
        <f t="shared" si="5"/>
        <v>0</v>
      </c>
      <c r="M30" s="18">
        <f t="shared" si="5"/>
        <v>0</v>
      </c>
      <c r="N30" s="18">
        <f t="shared" si="5"/>
        <v>0</v>
      </c>
      <c r="O30" s="18">
        <f t="shared" si="5"/>
        <v>0</v>
      </c>
      <c r="P30" s="18">
        <f t="shared" si="5"/>
        <v>0</v>
      </c>
    </row>
    <row r="31" spans="2:16">
      <c r="E31" s="1" t="s">
        <v>27</v>
      </c>
      <c r="F31" s="18">
        <v>100</v>
      </c>
      <c r="G31" s="18">
        <f>$F$31-G30</f>
        <v>100</v>
      </c>
      <c r="H31" s="18">
        <f t="shared" ref="H31:P31" si="6">$F$31-H30</f>
        <v>100</v>
      </c>
      <c r="I31" s="18">
        <f t="shared" si="6"/>
        <v>100</v>
      </c>
      <c r="J31" s="18">
        <f t="shared" si="6"/>
        <v>100</v>
      </c>
      <c r="K31" s="18">
        <f t="shared" si="6"/>
        <v>100</v>
      </c>
      <c r="L31" s="18">
        <f t="shared" si="6"/>
        <v>100</v>
      </c>
      <c r="M31" s="18">
        <f t="shared" si="6"/>
        <v>100</v>
      </c>
      <c r="N31" s="18">
        <f t="shared" si="6"/>
        <v>100</v>
      </c>
      <c r="O31" s="18">
        <f t="shared" si="6"/>
        <v>100</v>
      </c>
      <c r="P31" s="18">
        <f>$F$31-P30</f>
        <v>100</v>
      </c>
    </row>
    <row r="33" spans="5:6">
      <c r="E33" s="39" t="s">
        <v>28</v>
      </c>
      <c r="F33" s="39"/>
    </row>
    <row r="34" spans="5:6">
      <c r="E34" s="1" t="s">
        <v>29</v>
      </c>
      <c r="F34" s="31"/>
    </row>
    <row r="35" spans="5:6">
      <c r="E35" s="1" t="s">
        <v>30</v>
      </c>
      <c r="F35" s="32"/>
    </row>
    <row r="36" spans="5:6">
      <c r="E36" s="1" t="s">
        <v>31</v>
      </c>
      <c r="F36" s="33"/>
    </row>
    <row r="37" spans="5:6">
      <c r="E37" s="1" t="s">
        <v>32</v>
      </c>
      <c r="F37" s="31"/>
    </row>
    <row r="38" spans="5:6">
      <c r="E38" s="1" t="s">
        <v>33</v>
      </c>
      <c r="F38" s="31"/>
    </row>
    <row r="39" spans="5:6">
      <c r="E39" s="34" t="s">
        <v>34</v>
      </c>
      <c r="F39" s="35">
        <f>F38+F18</f>
        <v>0</v>
      </c>
    </row>
  </sheetData>
  <mergeCells count="4">
    <mergeCell ref="B2:B29"/>
    <mergeCell ref="E2:K2"/>
    <mergeCell ref="E21:K21"/>
    <mergeCell ref="E33:F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sebastian</dc:creator>
  <cp:keywords/>
  <dc:description/>
  <cp:lastModifiedBy>Maria Fernanda Valero Sanchez</cp:lastModifiedBy>
  <cp:revision/>
  <dcterms:created xsi:type="dcterms:W3CDTF">2020-10-22T02:41:20Z</dcterms:created>
  <dcterms:modified xsi:type="dcterms:W3CDTF">2026-09-14T15:55:51Z</dcterms:modified>
  <cp:category/>
  <cp:contentStatus/>
</cp:coreProperties>
</file>