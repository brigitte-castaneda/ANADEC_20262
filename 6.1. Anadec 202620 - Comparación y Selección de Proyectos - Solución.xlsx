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mf_valero10_uniandes_edu_co/Documents/1 Universidad de los Andes/1 Cursos Mafe/2025 - 20/1. Anadec/Presentaciones/6. Selección de Proyectos/"/>
    </mc:Choice>
  </mc:AlternateContent>
  <xr:revisionPtr revIDLastSave="320" documentId="13_ncr:1_{BB2F4E77-4EB7-4F7D-8664-FB0448142F0E}" xr6:coauthVersionLast="47" xr6:coauthVersionMax="47" xr10:uidLastSave="{7F8A7EB2-A639-47BA-B57E-343CE37F1FE4}"/>
  <bookViews>
    <workbookView xWindow="-98" yWindow="-98" windowWidth="21795" windowHeight="12975" firstSheet="3" xr2:uid="{D50896C7-03E9-4161-85FD-84FF4548387B}"/>
  </bookViews>
  <sheets>
    <sheet name="Caso 1 - Ej. 1" sheetId="1" r:id="rId1"/>
    <sheet name="Caso 1 - Ej. 2" sheetId="3" r:id="rId2"/>
    <sheet name="Ejercicio Práctica 1" sheetId="4" r:id="rId3"/>
    <sheet name="Ejercicio Práctica 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5" l="1"/>
  <c r="C10" i="5"/>
  <c r="D14" i="4"/>
  <c r="C14" i="4"/>
  <c r="D13" i="4"/>
  <c r="C13" i="4"/>
  <c r="C12" i="4"/>
  <c r="D12" i="4"/>
  <c r="D11" i="4"/>
  <c r="C11" i="4"/>
  <c r="I9" i="3" l="1"/>
  <c r="J9" i="3"/>
  <c r="H9" i="3"/>
  <c r="I8" i="3"/>
  <c r="J8" i="3"/>
  <c r="H8" i="3"/>
  <c r="I7" i="3"/>
  <c r="J7" i="3"/>
  <c r="H7" i="3"/>
  <c r="I6" i="3"/>
  <c r="J6" i="3"/>
  <c r="H6" i="3"/>
  <c r="I5" i="3"/>
  <c r="J5" i="3"/>
  <c r="H5" i="3"/>
  <c r="H9" i="1"/>
  <c r="G9" i="1"/>
  <c r="H8" i="1"/>
  <c r="G8" i="1"/>
  <c r="H7" i="1"/>
  <c r="G7" i="1"/>
  <c r="H6" i="1"/>
  <c r="G6" i="1"/>
  <c r="H5" i="1"/>
  <c r="G5" i="1"/>
</calcChain>
</file>

<file path=xl/sharedStrings.xml><?xml version="1.0" encoding="utf-8"?>
<sst xmlns="http://schemas.openxmlformats.org/spreadsheetml/2006/main" count="69" uniqueCount="32">
  <si>
    <t>Ejemplo 1</t>
  </si>
  <si>
    <t>Costo Oportunidad</t>
  </si>
  <si>
    <t>Año</t>
  </si>
  <si>
    <t>Proyecto A</t>
  </si>
  <si>
    <t>Proyecto B</t>
  </si>
  <si>
    <t>Indicador</t>
  </si>
  <si>
    <t>Selección</t>
  </si>
  <si>
    <t>VPN</t>
  </si>
  <si>
    <t>A</t>
  </si>
  <si>
    <t>VAE</t>
  </si>
  <si>
    <t>TIR</t>
  </si>
  <si>
    <t>B</t>
  </si>
  <si>
    <t>TVR</t>
  </si>
  <si>
    <t>B/C</t>
  </si>
  <si>
    <t>Ejemplo 2</t>
  </si>
  <si>
    <t>Térmica</t>
  </si>
  <si>
    <t>Eólica</t>
  </si>
  <si>
    <t>Hidráulica</t>
  </si>
  <si>
    <t>-</t>
  </si>
  <si>
    <t>Ejercicio Práctica 1</t>
  </si>
  <si>
    <t>Proyecto</t>
  </si>
  <si>
    <t>Inversión</t>
  </si>
  <si>
    <t>Vida útil (años)</t>
  </si>
  <si>
    <t>C</t>
  </si>
  <si>
    <t>D</t>
  </si>
  <si>
    <t>C + D</t>
  </si>
  <si>
    <t>A + B</t>
  </si>
  <si>
    <t>A + D</t>
  </si>
  <si>
    <t>B + D</t>
  </si>
  <si>
    <t>Ejercicio Práctica 2</t>
  </si>
  <si>
    <t>Inversión Inicial</t>
  </si>
  <si>
    <t>VF de los Flujos de Caja Positivos (t=5)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</si>
</sst>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;[Red]\-&quot;$&quot;\ #,##0"/>
    <numFmt numFmtId="165" formatCode="&quot;$&quot;\ #,##0_);[Red]\(&quot;$&quot;\ #,##0\)"/>
    <numFmt numFmtId="166" formatCode="&quot;$&quot;\ #,##0.0_);[Red]\(&quot;$&quot;\ #,##0.0\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6283B"/>
      <name val="Corbel"/>
      <family val="2"/>
    </font>
    <font>
      <sz val="11"/>
      <name val="Calibri"/>
      <family val="2"/>
      <scheme val="minor"/>
    </font>
    <font>
      <b/>
      <sz val="12"/>
      <color rgb="FF26283B"/>
      <name val="Corbel"/>
      <family val="2"/>
    </font>
    <font>
      <b/>
      <sz val="12"/>
      <color rgb="FFFFFFFF"/>
      <name val="Corbel"/>
      <family val="2"/>
    </font>
    <font>
      <b/>
      <sz val="11"/>
      <color theme="9" tint="-0.499984740745262"/>
      <name val="Calibri"/>
      <family val="2"/>
      <scheme val="minor"/>
    </font>
    <font>
      <b/>
      <sz val="12"/>
      <color theme="0"/>
      <name val="Corbe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 style="medium">
        <color theme="7" tint="-0.249977111117893"/>
      </left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165" fontId="3" fillId="2" borderId="0" xfId="0" applyNumberFormat="1" applyFont="1" applyFill="1" applyAlignment="1">
      <alignment horizontal="center" vertical="center" wrapText="1" readingOrder="1"/>
    </xf>
    <xf numFmtId="166" fontId="3" fillId="2" borderId="0" xfId="0" applyNumberFormat="1" applyFont="1" applyFill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7" fillId="0" borderId="0" xfId="0" applyFont="1"/>
    <xf numFmtId="0" fontId="2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0" fontId="2" fillId="0" borderId="3" xfId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 readingOrder="1"/>
    </xf>
    <xf numFmtId="2" fontId="3" fillId="2" borderId="1" xfId="0" applyNumberFormat="1" applyFont="1" applyFill="1" applyBorder="1" applyAlignment="1">
      <alignment horizontal="center" vertical="center" wrapText="1" readingOrder="1"/>
    </xf>
    <xf numFmtId="1" fontId="3" fillId="2" borderId="1" xfId="0" applyNumberFormat="1" applyFont="1" applyFill="1" applyBorder="1" applyAlignment="1">
      <alignment horizontal="center" vertical="center" wrapText="1" readingOrder="1"/>
    </xf>
    <xf numFmtId="9" fontId="3" fillId="2" borderId="1" xfId="1" applyFont="1" applyFill="1" applyBorder="1" applyAlignment="1">
      <alignment horizontal="center" vertical="center" wrapText="1" readingOrder="1"/>
    </xf>
    <xf numFmtId="10" fontId="3" fillId="2" borderId="1" xfId="1" applyNumberFormat="1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 vertical="center" wrapText="1" readingOrder="1"/>
    </xf>
    <xf numFmtId="0" fontId="0" fillId="4" borderId="1" xfId="0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0" fontId="4" fillId="4" borderId="1" xfId="0" applyNumberFormat="1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10" fontId="3" fillId="4" borderId="1" xfId="1" applyNumberFormat="1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63B3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51BF-AE84-4BA1-AE16-D1834C618855}">
  <dimension ref="B1:J9"/>
  <sheetViews>
    <sheetView showGridLines="0" tabSelected="1" zoomScale="110" zoomScaleNormal="110" workbookViewId="0"/>
  </sheetViews>
  <sheetFormatPr defaultColWidth="11.42578125" defaultRowHeight="14.25"/>
  <cols>
    <col min="3" max="3" width="13.5703125" bestFit="1" customWidth="1"/>
    <col min="4" max="4" width="14.85546875" customWidth="1"/>
    <col min="5" max="5" width="13.7109375" bestFit="1" customWidth="1"/>
    <col min="6" max="6" width="18.28515625" bestFit="1" customWidth="1"/>
    <col min="7" max="7" width="15.85546875" customWidth="1"/>
    <col min="8" max="8" width="14.5703125" customWidth="1"/>
    <col min="9" max="9" width="14.28515625" customWidth="1"/>
  </cols>
  <sheetData>
    <row r="1" spans="2:10" ht="14.65" thickBot="1"/>
    <row r="2" spans="2:10" ht="21" customHeight="1" thickBot="1">
      <c r="B2" s="6" t="s">
        <v>0</v>
      </c>
      <c r="F2" s="11" t="s">
        <v>1</v>
      </c>
      <c r="G2" s="10">
        <v>0.1</v>
      </c>
    </row>
    <row r="3" spans="2:10" ht="14.65" thickBot="1"/>
    <row r="4" spans="2:10" ht="16.149999999999999" thickBot="1">
      <c r="B4" s="3" t="s">
        <v>2</v>
      </c>
      <c r="C4" s="3" t="s">
        <v>3</v>
      </c>
      <c r="D4" s="3" t="s">
        <v>4</v>
      </c>
      <c r="F4" s="3" t="s">
        <v>5</v>
      </c>
      <c r="G4" s="3" t="s">
        <v>3</v>
      </c>
      <c r="H4" s="3" t="s">
        <v>4</v>
      </c>
      <c r="J4" s="3" t="s">
        <v>6</v>
      </c>
    </row>
    <row r="5" spans="2:10" ht="16.149999999999999" thickBot="1">
      <c r="B5" s="4">
        <v>0</v>
      </c>
      <c r="C5" s="5">
        <v>-1000</v>
      </c>
      <c r="D5" s="5">
        <v>-1000</v>
      </c>
      <c r="F5" s="19" t="s">
        <v>7</v>
      </c>
      <c r="G5" s="20">
        <f>NPV($G$2,C6:C7)+C5</f>
        <v>150.41322314049557</v>
      </c>
      <c r="H5" s="20">
        <f>NPV($G$2,D6:D7)+D5</f>
        <v>136.77685950413229</v>
      </c>
      <c r="J5" s="21" t="s">
        <v>8</v>
      </c>
    </row>
    <row r="6" spans="2:10" ht="16.149999999999999" thickBot="1">
      <c r="B6" s="4">
        <v>1</v>
      </c>
      <c r="C6" s="5">
        <v>0</v>
      </c>
      <c r="D6" s="5">
        <v>655</v>
      </c>
      <c r="F6" s="19" t="s">
        <v>9</v>
      </c>
      <c r="G6" s="20">
        <f>-PMT($G$2,2,G5)</f>
        <v>86.666666666666515</v>
      </c>
      <c r="H6" s="20">
        <f>-PMT($G$2,2,H5)</f>
        <v>78.809523809523853</v>
      </c>
      <c r="J6" s="21" t="s">
        <v>8</v>
      </c>
    </row>
    <row r="7" spans="2:10" ht="16.149999999999999" thickBot="1">
      <c r="B7" s="4">
        <v>2</v>
      </c>
      <c r="C7" s="5">
        <v>1392</v>
      </c>
      <c r="D7" s="5">
        <v>655</v>
      </c>
      <c r="F7" s="7" t="s">
        <v>10</v>
      </c>
      <c r="G7" s="8">
        <f>IRR(C5:C7)</f>
        <v>0.17983049629444547</v>
      </c>
      <c r="H7" s="8">
        <f>IRR(D5:D7)</f>
        <v>0.20057287782720024</v>
      </c>
      <c r="J7" s="9" t="s">
        <v>11</v>
      </c>
    </row>
    <row r="8" spans="2:10" ht="14.65" thickBot="1">
      <c r="F8" s="19" t="s">
        <v>12</v>
      </c>
      <c r="G8" s="22">
        <f>MIRR(C5:C7,$G$2,$G$2)</f>
        <v>0.1798304963002102</v>
      </c>
      <c r="H8" s="22">
        <f>MIRR(D5:D7,$G$2,$G$2)</f>
        <v>0.17281712129385274</v>
      </c>
      <c r="J8" s="21" t="s">
        <v>8</v>
      </c>
    </row>
    <row r="9" spans="2:10" ht="14.65" thickBot="1">
      <c r="F9" s="19" t="s">
        <v>13</v>
      </c>
      <c r="G9" s="23">
        <f>NPV($G$2,C6:C7)/-C5</f>
        <v>1.1504132231404955</v>
      </c>
      <c r="H9" s="23">
        <f>NPV($G$2,D6:D7)/-D5</f>
        <v>1.1367768595041323</v>
      </c>
      <c r="J9" s="2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036D-57EE-41D4-9DF2-CA22631A672E}">
  <dimension ref="B1:L9"/>
  <sheetViews>
    <sheetView showGridLines="0" zoomScale="110" zoomScaleNormal="110" workbookViewId="0"/>
  </sheetViews>
  <sheetFormatPr defaultColWidth="11.42578125" defaultRowHeight="14.25"/>
  <cols>
    <col min="3" max="3" width="13.5703125" bestFit="1" customWidth="1"/>
    <col min="4" max="4" width="14.85546875" customWidth="1"/>
    <col min="5" max="5" width="13.7109375" bestFit="1" customWidth="1"/>
    <col min="6" max="6" width="5" customWidth="1"/>
    <col min="7" max="7" width="18.28515625" bestFit="1" customWidth="1"/>
    <col min="8" max="8" width="15.85546875" customWidth="1"/>
    <col min="9" max="9" width="14.5703125" customWidth="1"/>
    <col min="10" max="10" width="14.28515625" customWidth="1"/>
  </cols>
  <sheetData>
    <row r="1" spans="2:12" ht="14.65" thickBot="1"/>
    <row r="2" spans="2:12" ht="21.75" customHeight="1" thickBot="1">
      <c r="B2" s="6" t="s">
        <v>14</v>
      </c>
      <c r="G2" s="11" t="s">
        <v>1</v>
      </c>
      <c r="H2" s="10">
        <v>0.05</v>
      </c>
    </row>
    <row r="3" spans="2:12" ht="14.65" thickBot="1"/>
    <row r="4" spans="2:12" ht="16.149999999999999" thickBot="1">
      <c r="B4" s="3" t="s">
        <v>2</v>
      </c>
      <c r="C4" s="3" t="s">
        <v>15</v>
      </c>
      <c r="D4" s="3" t="s">
        <v>16</v>
      </c>
      <c r="E4" s="3" t="s">
        <v>17</v>
      </c>
      <c r="G4" s="3" t="s">
        <v>5</v>
      </c>
      <c r="H4" s="3" t="s">
        <v>15</v>
      </c>
      <c r="I4" s="3" t="s">
        <v>16</v>
      </c>
      <c r="J4" s="3" t="s">
        <v>17</v>
      </c>
      <c r="L4" s="3" t="s">
        <v>6</v>
      </c>
    </row>
    <row r="5" spans="2:12" ht="16.149999999999999" thickBot="1">
      <c r="B5" s="4">
        <v>0</v>
      </c>
      <c r="C5" s="5">
        <v>-1000000</v>
      </c>
      <c r="D5" s="5">
        <v>-1000000</v>
      </c>
      <c r="E5" s="5">
        <v>-1000000</v>
      </c>
      <c r="F5" s="1"/>
      <c r="G5" s="19" t="s">
        <v>7</v>
      </c>
      <c r="H5" s="20">
        <f>NPV($H$2,C6:C9)+C5</f>
        <v>141838.02016649442</v>
      </c>
      <c r="I5" s="20">
        <f t="shared" ref="I5:J5" si="0">NPV($H$2,D6:D9)+D5</f>
        <v>108107.21870002709</v>
      </c>
      <c r="J5" s="20">
        <f t="shared" si="0"/>
        <v>94523.932384140324</v>
      </c>
      <c r="L5" s="24" t="s">
        <v>15</v>
      </c>
    </row>
    <row r="6" spans="2:12" ht="16.149999999999999" thickBot="1">
      <c r="B6" s="4">
        <v>1</v>
      </c>
      <c r="C6" s="5">
        <v>90000</v>
      </c>
      <c r="D6" s="5">
        <v>90000</v>
      </c>
      <c r="E6" s="5">
        <v>308668.7</v>
      </c>
      <c r="F6" s="2"/>
      <c r="G6" s="19" t="s">
        <v>9</v>
      </c>
      <c r="H6" s="20">
        <f>-PMT($H$2,4,H5)</f>
        <v>40000</v>
      </c>
      <c r="I6" s="20">
        <f t="shared" ref="I6:J6" si="1">-PMT($H$2,4,I5)</f>
        <v>30487.51486325798</v>
      </c>
      <c r="J6" s="20">
        <f t="shared" si="1"/>
        <v>26656.867396537215</v>
      </c>
      <c r="L6" s="24" t="s">
        <v>15</v>
      </c>
    </row>
    <row r="7" spans="2:12" ht="16.149999999999999" thickBot="1">
      <c r="B7" s="4">
        <v>2</v>
      </c>
      <c r="C7" s="5">
        <v>90000</v>
      </c>
      <c r="D7" s="5">
        <v>590000</v>
      </c>
      <c r="E7" s="5">
        <v>308668.7</v>
      </c>
      <c r="F7" s="2"/>
      <c r="G7" s="7" t="s">
        <v>10</v>
      </c>
      <c r="H7" s="12">
        <f>IRR(C5:C9)</f>
        <v>8.999999999999897E-2</v>
      </c>
      <c r="I7" s="12">
        <f t="shared" ref="I7:J7" si="2">IRR(D5:D9)</f>
        <v>8.9999999999999858E-2</v>
      </c>
      <c r="J7" s="12">
        <f t="shared" si="2"/>
        <v>9.0000055952887292E-2</v>
      </c>
      <c r="L7" s="13" t="s">
        <v>18</v>
      </c>
    </row>
    <row r="8" spans="2:12" ht="16.149999999999999" thickBot="1">
      <c r="B8" s="4">
        <v>3</v>
      </c>
      <c r="C8" s="5">
        <v>90000</v>
      </c>
      <c r="D8" s="5">
        <v>45000</v>
      </c>
      <c r="E8" s="5">
        <v>308668.7</v>
      </c>
      <c r="F8" s="2"/>
      <c r="G8" s="19" t="s">
        <v>12</v>
      </c>
      <c r="H8" s="25">
        <f>MIRR(C5:C9,$H$2,$H$2)</f>
        <v>8.5401516448524228E-2</v>
      </c>
      <c r="I8" s="25">
        <f t="shared" ref="I8:J8" si="3">MIRR(D5:D9,$H$2,$H$2)</f>
        <v>7.7295250310281061E-2</v>
      </c>
      <c r="J8" s="25">
        <f t="shared" si="3"/>
        <v>7.3978567500953885E-2</v>
      </c>
      <c r="L8" s="24" t="s">
        <v>15</v>
      </c>
    </row>
    <row r="9" spans="2:12" ht="16.149999999999999" thickBot="1">
      <c r="B9" s="4">
        <v>4</v>
      </c>
      <c r="C9" s="5">
        <v>1090000</v>
      </c>
      <c r="D9" s="5">
        <v>545000</v>
      </c>
      <c r="E9" s="5">
        <v>308668.7</v>
      </c>
      <c r="F9" s="2"/>
      <c r="G9" s="19" t="s">
        <v>13</v>
      </c>
      <c r="H9" s="26">
        <f>NPV($H$2,C6:C9)/-C5</f>
        <v>1.1418380201664944</v>
      </c>
      <c r="I9" s="26">
        <f t="shared" ref="I9:J9" si="4">NPV($H$2,D6:D9)/-D5</f>
        <v>1.1081072187000272</v>
      </c>
      <c r="J9" s="26">
        <f t="shared" si="4"/>
        <v>1.0945239323841403</v>
      </c>
      <c r="L9" s="2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9110-AAF2-4437-9A97-B632F8E3A79C}">
  <dimension ref="B1:H14"/>
  <sheetViews>
    <sheetView showGridLines="0" zoomScale="110" zoomScaleNormal="110" workbookViewId="0"/>
  </sheetViews>
  <sheetFormatPr defaultColWidth="11.42578125" defaultRowHeight="14.25"/>
  <cols>
    <col min="3" max="8" width="12.28515625" customWidth="1"/>
  </cols>
  <sheetData>
    <row r="1" spans="2:8" ht="14.65" thickBot="1"/>
    <row r="2" spans="2:8" ht="21" customHeight="1" thickBot="1">
      <c r="B2" s="6" t="s">
        <v>19</v>
      </c>
      <c r="F2" s="28" t="s">
        <v>1</v>
      </c>
      <c r="G2" s="29"/>
      <c r="H2" s="10">
        <v>0.14000000000000001</v>
      </c>
    </row>
    <row r="3" spans="2:8" ht="14.65" thickBot="1"/>
    <row r="4" spans="2:8" ht="30.75" customHeight="1" thickBot="1">
      <c r="B4" s="3" t="s">
        <v>20</v>
      </c>
      <c r="C4" s="3" t="s">
        <v>21</v>
      </c>
      <c r="D4" s="3" t="s">
        <v>22</v>
      </c>
      <c r="E4" s="3" t="s">
        <v>9</v>
      </c>
      <c r="F4" s="3" t="s">
        <v>10</v>
      </c>
      <c r="G4" s="3" t="s">
        <v>13</v>
      </c>
      <c r="H4" s="3" t="s">
        <v>12</v>
      </c>
    </row>
    <row r="5" spans="2:8" ht="16.149999999999999" thickBot="1">
      <c r="B5" s="14" t="s">
        <v>8</v>
      </c>
      <c r="C5" s="5">
        <v>-1000</v>
      </c>
      <c r="D5" s="16">
        <v>10</v>
      </c>
      <c r="E5" s="5">
        <v>19</v>
      </c>
      <c r="F5" s="17">
        <v>0.18</v>
      </c>
      <c r="G5" s="15">
        <v>1.1299999999999999</v>
      </c>
      <c r="H5" s="17">
        <v>0.17</v>
      </c>
    </row>
    <row r="6" spans="2:8" ht="16.149999999999999" thickBot="1">
      <c r="B6" s="14" t="s">
        <v>11</v>
      </c>
      <c r="C6" s="5">
        <v>-900</v>
      </c>
      <c r="D6" s="16">
        <v>10</v>
      </c>
      <c r="E6" s="5">
        <v>21</v>
      </c>
      <c r="F6" s="17">
        <v>0.2</v>
      </c>
      <c r="G6" s="15">
        <v>1.1499999999999999</v>
      </c>
      <c r="H6" s="17">
        <v>0.19</v>
      </c>
    </row>
    <row r="7" spans="2:8" ht="16.149999999999999" thickBot="1">
      <c r="B7" s="14" t="s">
        <v>23</v>
      </c>
      <c r="C7" s="5">
        <v>-1150</v>
      </c>
      <c r="D7" s="16">
        <v>10</v>
      </c>
      <c r="E7" s="5">
        <v>23</v>
      </c>
      <c r="F7" s="17">
        <v>0.17</v>
      </c>
      <c r="G7" s="15">
        <v>1.0900000000000001</v>
      </c>
      <c r="H7" s="17">
        <v>0.16</v>
      </c>
    </row>
    <row r="8" spans="2:8" ht="16.149999999999999" thickBot="1">
      <c r="B8" s="14" t="s">
        <v>24</v>
      </c>
      <c r="C8" s="5">
        <v>-1050</v>
      </c>
      <c r="D8" s="16">
        <v>10</v>
      </c>
      <c r="E8" s="5">
        <v>18</v>
      </c>
      <c r="F8" s="17">
        <v>0.16</v>
      </c>
      <c r="G8" s="15">
        <v>1.04</v>
      </c>
      <c r="H8" s="17">
        <v>0.15</v>
      </c>
    </row>
    <row r="9" spans="2:8" ht="14.65" thickBot="1"/>
    <row r="10" spans="2:8" ht="16.149999999999999" thickBot="1">
      <c r="C10" s="3" t="s">
        <v>9</v>
      </c>
      <c r="D10" s="3" t="s">
        <v>21</v>
      </c>
    </row>
    <row r="11" spans="2:8" ht="16.149999999999999" thickBot="1">
      <c r="B11" s="3" t="s">
        <v>25</v>
      </c>
      <c r="C11" s="20">
        <f>E7+E8</f>
        <v>41</v>
      </c>
      <c r="D11" s="20">
        <f>C7+C8</f>
        <v>-2200</v>
      </c>
    </row>
    <row r="12" spans="2:8" ht="16.149999999999999" thickBot="1">
      <c r="B12" s="3" t="s">
        <v>26</v>
      </c>
      <c r="C12" s="5">
        <f>E5+E6</f>
        <v>40</v>
      </c>
      <c r="D12" s="5">
        <f>C5+C6</f>
        <v>-1900</v>
      </c>
    </row>
    <row r="13" spans="2:8" ht="16.149999999999999" thickBot="1">
      <c r="B13" s="3" t="s">
        <v>27</v>
      </c>
      <c r="C13" s="5">
        <f>E5+E8</f>
        <v>37</v>
      </c>
      <c r="D13" s="5">
        <f>C5+C8</f>
        <v>-2050</v>
      </c>
    </row>
    <row r="14" spans="2:8" ht="16.149999999999999" thickBot="1">
      <c r="B14" s="3" t="s">
        <v>28</v>
      </c>
      <c r="C14" s="5">
        <f>E6+E8</f>
        <v>39</v>
      </c>
      <c r="D14" s="5">
        <f>C6+C8</f>
        <v>-1950</v>
      </c>
    </row>
  </sheetData>
  <mergeCells count="1">
    <mergeCell ref="F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6AC83-CCE3-40FF-B1F3-98FBBE823019}">
  <dimension ref="B1:F10"/>
  <sheetViews>
    <sheetView showGridLines="0" zoomScale="110" zoomScaleNormal="110" workbookViewId="0">
      <selection activeCell="C1" sqref="C1:D1048576"/>
    </sheetView>
  </sheetViews>
  <sheetFormatPr defaultColWidth="11.42578125" defaultRowHeight="14.25"/>
  <cols>
    <col min="2" max="2" width="21.5703125" customWidth="1"/>
    <col min="3" max="4" width="14.42578125" bestFit="1" customWidth="1"/>
    <col min="5" max="5" width="16.7109375" customWidth="1"/>
    <col min="6" max="6" width="10" customWidth="1"/>
  </cols>
  <sheetData>
    <row r="1" spans="2:6" ht="14.65" thickBot="1"/>
    <row r="2" spans="2:6" ht="21" customHeight="1" thickBot="1">
      <c r="B2" s="6" t="s">
        <v>29</v>
      </c>
      <c r="E2" s="11" t="s">
        <v>1</v>
      </c>
      <c r="F2" s="10">
        <v>0.1</v>
      </c>
    </row>
    <row r="3" spans="2:6" ht="14.65" thickBot="1"/>
    <row r="4" spans="2:6" ht="16.149999999999999" thickBot="1">
      <c r="B4" s="3" t="s">
        <v>20</v>
      </c>
      <c r="C4" s="3" t="s">
        <v>8</v>
      </c>
      <c r="D4" s="3" t="s">
        <v>11</v>
      </c>
    </row>
    <row r="5" spans="2:6" ht="16.149999999999999" thickBot="1">
      <c r="B5" s="14" t="s">
        <v>10</v>
      </c>
      <c r="C5" s="18">
        <v>0.15989999999999999</v>
      </c>
      <c r="D5" s="18">
        <v>0.17419999999999999</v>
      </c>
    </row>
    <row r="6" spans="2:6" ht="16.149999999999999" thickBot="1">
      <c r="B6" s="3" t="s">
        <v>22</v>
      </c>
      <c r="C6" s="16">
        <v>5</v>
      </c>
      <c r="D6" s="16">
        <v>5</v>
      </c>
    </row>
    <row r="7" spans="2:6" ht="16.149999999999999" thickBot="1">
      <c r="B7" s="3" t="s">
        <v>30</v>
      </c>
      <c r="C7" s="5">
        <v>100000000</v>
      </c>
      <c r="D7" s="5">
        <v>100000000</v>
      </c>
    </row>
    <row r="8" spans="2:6" ht="31.9" thickBot="1">
      <c r="B8" s="14" t="s">
        <v>31</v>
      </c>
      <c r="C8" s="5">
        <v>206150000</v>
      </c>
      <c r="D8" s="5">
        <v>201022536</v>
      </c>
    </row>
    <row r="9" spans="2:6" ht="14.65" thickBot="1"/>
    <row r="10" spans="2:6" ht="16.149999999999999" thickBot="1">
      <c r="B10" s="14" t="s">
        <v>12</v>
      </c>
      <c r="C10" s="27">
        <f>((C8/C7)^(1/5))-1</f>
        <v>0.1556775260529919</v>
      </c>
      <c r="D10" s="18">
        <f>((D8/D7)^(1/5))-1</f>
        <v>0.14987054564887137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Maria Fernanda Valero Sanchez</cp:lastModifiedBy>
  <cp:revision/>
  <dcterms:created xsi:type="dcterms:W3CDTF">2021-09-07T14:51:11Z</dcterms:created>
  <dcterms:modified xsi:type="dcterms:W3CDTF">2026-09-07T19:37:41Z</dcterms:modified>
  <cp:category/>
  <cp:contentStatus/>
</cp:coreProperties>
</file>