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ndreayohanacortesmojica/Documents/Presentanciones y Plantillas de ANADEC/Módulo 7/"/>
    </mc:Choice>
  </mc:AlternateContent>
  <xr:revisionPtr revIDLastSave="0" documentId="13_ncr:1_{9F0D9140-2696-F141-9107-6725E0E2580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WACC (Ejemplo 1)" sheetId="6" r:id="rId1"/>
    <sheet name="WACC (Ejemplo 2) - Sin Res." sheetId="10" r:id="rId2"/>
    <sheet name="WACC (Ejemplo 2) - Con Res." sheetId="9" r:id="rId3"/>
    <sheet name="WACC (Ejemplo 3)" sheetId="8" r:id="rId4"/>
  </sheets>
  <definedNames>
    <definedName name="solver_adj" localSheetId="0" hidden="1">'WACC (Ejemplo 1)'!$Q$24:$Q$25</definedName>
    <definedName name="solver_adj" localSheetId="2" hidden="1">'WACC (Ejemplo 2) - Con Res.'!$Q$14:$Q$15</definedName>
    <definedName name="solver_adj" localSheetId="1" hidden="1">'WACC (Ejemplo 2) - Sin Res.'!$Q$11:$Q$12</definedName>
    <definedName name="solver_adj" localSheetId="3" hidden="1">'WACC (Ejemplo 3)'!$C$18:$C$19</definedName>
    <definedName name="solver_cvg" localSheetId="0" hidden="1">0.0001</definedName>
    <definedName name="solver_cvg" localSheetId="2" hidden="1">0.0001</definedName>
    <definedName name="solver_cvg" localSheetId="1" hidden="1">0.0001</definedName>
    <definedName name="solver_cvg" localSheetId="3" hidden="1">0.0001</definedName>
    <definedName name="solver_drv" localSheetId="0" hidden="1">1</definedName>
    <definedName name="solver_drv" localSheetId="2" hidden="1">1</definedName>
    <definedName name="solver_drv" localSheetId="1" hidden="1">1</definedName>
    <definedName name="solver_drv" localSheetId="3" hidden="1">2</definedName>
    <definedName name="solver_eng" localSheetId="0" hidden="1">1</definedName>
    <definedName name="solver_eng" localSheetId="2" hidden="1">1</definedName>
    <definedName name="solver_eng" localSheetId="1" hidden="1">1</definedName>
    <definedName name="solver_eng" localSheetId="3" hidden="1">1</definedName>
    <definedName name="solver_est" localSheetId="0" hidden="1">1</definedName>
    <definedName name="solver_est" localSheetId="2" hidden="1">1</definedName>
    <definedName name="solver_est" localSheetId="1" hidden="1">1</definedName>
    <definedName name="solver_est" localSheetId="3" hidden="1">1</definedName>
    <definedName name="solver_itr" localSheetId="0" hidden="1">2147483647</definedName>
    <definedName name="solver_itr" localSheetId="2" hidden="1">2147483647</definedName>
    <definedName name="solver_itr" localSheetId="1" hidden="1">2147483647</definedName>
    <definedName name="solver_itr" localSheetId="3" hidden="1">2147483647</definedName>
    <definedName name="solver_lhs1" localSheetId="0" hidden="1">'WACC (Ejemplo 1)'!$Q$24</definedName>
    <definedName name="solver_lhs1" localSheetId="2" hidden="1">'WACC (Ejemplo 2) - Con Res.'!$Q$14</definedName>
    <definedName name="solver_lhs1" localSheetId="1" hidden="1">'WACC (Ejemplo 2) - Sin Res.'!$Q$11</definedName>
    <definedName name="solver_lhs1" localSheetId="3" hidden="1">'WACC (Ejemplo 3)'!$C$18</definedName>
    <definedName name="solver_lhs2" localSheetId="0" hidden="1">'WACC (Ejemplo 1)'!$R$26</definedName>
    <definedName name="solver_lhs2" localSheetId="2" hidden="1">'WACC (Ejemplo 2) - Con Res.'!$R$16</definedName>
    <definedName name="solver_lhs2" localSheetId="1" hidden="1">'WACC (Ejemplo 2) - Sin Res.'!$R$13</definedName>
    <definedName name="solver_lhs2" localSheetId="3" hidden="1">'WACC (Ejemplo 3)'!$C$18:$C$19</definedName>
    <definedName name="solver_lhs3" localSheetId="0" hidden="1">'WACC (Ejemplo 1)'!$S$24</definedName>
    <definedName name="solver_lhs3" localSheetId="2" hidden="1">'WACC (Ejemplo 2) - Con Res.'!$S$14</definedName>
    <definedName name="solver_lhs3" localSheetId="1" hidden="1">'WACC (Ejemplo 2) - Sin Res.'!#REF!</definedName>
    <definedName name="solver_lhs3" localSheetId="3" hidden="1">'WACC (Ejemplo 3)'!$C$19</definedName>
    <definedName name="solver_lhs4" localSheetId="0" hidden="1">'WACC (Ejemplo 1)'!$S$25</definedName>
    <definedName name="solver_lhs4" localSheetId="2" hidden="1">'WACC (Ejemplo 2) - Con Res.'!$S$15</definedName>
    <definedName name="solver_lhs4" localSheetId="1" hidden="1">'WACC (Ejemplo 2) - Sin Res.'!#REF!</definedName>
    <definedName name="solver_lhs4" localSheetId="3" hidden="1">'WACC (Ejemplo 3)'!$D$23</definedName>
    <definedName name="solver_lhs5" localSheetId="0" hidden="1">'WACC (Ejemplo 1)'!$S$25</definedName>
    <definedName name="solver_lhs5" localSheetId="2" hidden="1">'WACC (Ejemplo 2) - Con Res.'!$S$15</definedName>
    <definedName name="solver_lhs5" localSheetId="1" hidden="1">'WACC (Ejemplo 2) - Sin Res.'!#REF!</definedName>
    <definedName name="solver_lhs5" localSheetId="3" hidden="1">'WACC (Ejemplo 3)'!$I$16</definedName>
    <definedName name="solver_lhs6" localSheetId="3" hidden="1">'WACC (Ejemplo 3)'!$I$17</definedName>
    <definedName name="solver_lhs7" localSheetId="3" hidden="1">'WACC (Ejemplo 3)'!$I$17</definedName>
    <definedName name="solver_lin" localSheetId="2" hidden="1">2</definedName>
    <definedName name="solver_lin" localSheetId="1" hidden="1">2</definedName>
    <definedName name="solver_lin" localSheetId="3" hidden="1">2</definedName>
    <definedName name="solver_mip" localSheetId="0" hidden="1">2147483647</definedName>
    <definedName name="solver_mip" localSheetId="2" hidden="1">2147483647</definedName>
    <definedName name="solver_mip" localSheetId="1" hidden="1">2147483647</definedName>
    <definedName name="solver_mip" localSheetId="3" hidden="1">2147483647</definedName>
    <definedName name="solver_mni" localSheetId="0" hidden="1">30</definedName>
    <definedName name="solver_mni" localSheetId="2" hidden="1">30</definedName>
    <definedName name="solver_mni" localSheetId="1" hidden="1">30</definedName>
    <definedName name="solver_mni" localSheetId="3" hidden="1">30</definedName>
    <definedName name="solver_mrt" localSheetId="0" hidden="1">0.075</definedName>
    <definedName name="solver_mrt" localSheetId="2" hidden="1">0.075</definedName>
    <definedName name="solver_mrt" localSheetId="1" hidden="1">0.075</definedName>
    <definedName name="solver_mrt" localSheetId="3" hidden="1">0.075</definedName>
    <definedName name="solver_msl" localSheetId="0" hidden="1">2</definedName>
    <definedName name="solver_msl" localSheetId="2" hidden="1">2</definedName>
    <definedName name="solver_msl" localSheetId="1" hidden="1">2</definedName>
    <definedName name="solver_msl" localSheetId="3" hidden="1">2</definedName>
    <definedName name="solver_neg" localSheetId="0" hidden="1">1</definedName>
    <definedName name="solver_neg" localSheetId="2" hidden="1">1</definedName>
    <definedName name="solver_neg" localSheetId="1" hidden="1">1</definedName>
    <definedName name="solver_neg" localSheetId="3" hidden="1">1</definedName>
    <definedName name="solver_nod" localSheetId="0" hidden="1">2147483647</definedName>
    <definedName name="solver_nod" localSheetId="2" hidden="1">2147483647</definedName>
    <definedName name="solver_nod" localSheetId="1" hidden="1">2147483647</definedName>
    <definedName name="solver_nod" localSheetId="3" hidden="1">2147483647</definedName>
    <definedName name="solver_num" localSheetId="0" hidden="1">4</definedName>
    <definedName name="solver_num" localSheetId="2" hidden="1">4</definedName>
    <definedName name="solver_num" localSheetId="1" hidden="1">2</definedName>
    <definedName name="solver_num" localSheetId="3" hidden="1">7</definedName>
    <definedName name="solver_nwt" localSheetId="0" hidden="1">1</definedName>
    <definedName name="solver_nwt" localSheetId="2" hidden="1">1</definedName>
    <definedName name="solver_nwt" localSheetId="1" hidden="1">1</definedName>
    <definedName name="solver_nwt" localSheetId="3" hidden="1">1</definedName>
    <definedName name="solver_opt" localSheetId="0" hidden="1">'WACC (Ejemplo 1)'!$S$28</definedName>
    <definedName name="solver_opt" localSheetId="2" hidden="1">'WACC (Ejemplo 2) - Con Res.'!$S$18</definedName>
    <definedName name="solver_opt" localSheetId="1" hidden="1">'WACC (Ejemplo 2) - Sin Res.'!$S$15</definedName>
    <definedName name="solver_opt" localSheetId="3" hidden="1">'WACC (Ejemplo 3)'!$I$19</definedName>
    <definedName name="solver_pre" localSheetId="0" hidden="1">0.000001</definedName>
    <definedName name="solver_pre" localSheetId="2" hidden="1">0.000001</definedName>
    <definedName name="solver_pre" localSheetId="1" hidden="1">0.000001</definedName>
    <definedName name="solver_pre" localSheetId="3" hidden="1">1E-26</definedName>
    <definedName name="solver_rbv" localSheetId="0" hidden="1">1</definedName>
    <definedName name="solver_rbv" localSheetId="2" hidden="1">1</definedName>
    <definedName name="solver_rbv" localSheetId="1" hidden="1">1</definedName>
    <definedName name="solver_rbv" localSheetId="3" hidden="1">2</definedName>
    <definedName name="solver_rel1" localSheetId="0" hidden="1">1</definedName>
    <definedName name="solver_rel1" localSheetId="2" hidden="1">1</definedName>
    <definedName name="solver_rel1" localSheetId="1" hidden="1">1</definedName>
    <definedName name="solver_rel1" localSheetId="3" hidden="1">1</definedName>
    <definedName name="solver_rel2" localSheetId="0" hidden="1">2</definedName>
    <definedName name="solver_rel2" localSheetId="2" hidden="1">2</definedName>
    <definedName name="solver_rel2" localSheetId="1" hidden="1">2</definedName>
    <definedName name="solver_rel2" localSheetId="3" hidden="1">3</definedName>
    <definedName name="solver_rel3" localSheetId="0" hidden="1">2</definedName>
    <definedName name="solver_rel3" localSheetId="2" hidden="1">2</definedName>
    <definedName name="solver_rel3" localSheetId="1" hidden="1">2</definedName>
    <definedName name="solver_rel3" localSheetId="3" hidden="1">1</definedName>
    <definedName name="solver_rel4" localSheetId="0" hidden="1">2</definedName>
    <definedName name="solver_rel4" localSheetId="2" hidden="1">2</definedName>
    <definedName name="solver_rel4" localSheetId="1" hidden="1">2</definedName>
    <definedName name="solver_rel4" localSheetId="3" hidden="1">2</definedName>
    <definedName name="solver_rel5" localSheetId="0" hidden="1">2</definedName>
    <definedName name="solver_rel5" localSheetId="2" hidden="1">2</definedName>
    <definedName name="solver_rel5" localSheetId="1" hidden="1">2</definedName>
    <definedName name="solver_rel5" localSheetId="3" hidden="1">2</definedName>
    <definedName name="solver_rel6" localSheetId="3" hidden="1">2</definedName>
    <definedName name="solver_rel7" localSheetId="3" hidden="1">2</definedName>
    <definedName name="solver_rhs1" localSheetId="0" hidden="1">112500</definedName>
    <definedName name="solver_rhs1" localSheetId="2" hidden="1">112500</definedName>
    <definedName name="solver_rhs1" localSheetId="1" hidden="1">'WACC (Ejemplo 2) - Sin Res.'!$D$9</definedName>
    <definedName name="solver_rhs1" localSheetId="3" hidden="1">'WACC (Ejemplo 3)'!$D$8</definedName>
    <definedName name="solver_rhs2" localSheetId="0" hidden="1">150000</definedName>
    <definedName name="solver_rhs2" localSheetId="2" hidden="1">150000</definedName>
    <definedName name="solver_rhs2" localSheetId="1" hidden="1">150000</definedName>
    <definedName name="solver_rhs2" localSheetId="3" hidden="1">0</definedName>
    <definedName name="solver_rhs3" localSheetId="0" hidden="1">'WACC (Ejemplo 1)'!$T$19</definedName>
    <definedName name="solver_rhs3" localSheetId="2" hidden="1">'WACC (Ejemplo 2) - Con Res.'!$T$9</definedName>
    <definedName name="solver_rhs3" localSheetId="1" hidden="1">'WACC (Ejemplo 2) - Sin Res.'!#REF!</definedName>
    <definedName name="solver_rhs3" localSheetId="3" hidden="1">'WACC (Ejemplo 3)'!$D$10</definedName>
    <definedName name="solver_rhs4" localSheetId="0" hidden="1">'WACC (Ejemplo 1)'!$T$20</definedName>
    <definedName name="solver_rhs4" localSheetId="2" hidden="1">'WACC (Ejemplo 2) - Con Res.'!$T$10</definedName>
    <definedName name="solver_rhs4" localSheetId="1" hidden="1">'WACC (Ejemplo 2) - Sin Res.'!#REF!</definedName>
    <definedName name="solver_rhs4" localSheetId="3" hidden="1">150000</definedName>
    <definedName name="solver_rhs5" localSheetId="0" hidden="1">'WACC (Ejemplo 1)'!$T$20</definedName>
    <definedName name="solver_rhs5" localSheetId="2" hidden="1">'WACC (Ejemplo 2) - Con Res.'!$T$10</definedName>
    <definedName name="solver_rhs5" localSheetId="1" hidden="1">'WACC (Ejemplo 2) - Sin Res.'!#REF!</definedName>
    <definedName name="solver_rhs5" localSheetId="3" hidden="1">'WACC (Ejemplo 3)'!$J$16</definedName>
    <definedName name="solver_rhs6" localSheetId="3" hidden="1">'WACC (Ejemplo 3)'!$J$17</definedName>
    <definedName name="solver_rhs7" localSheetId="3" hidden="1">'WACC (Ejemplo 3)'!$J$17</definedName>
    <definedName name="solver_rlx" localSheetId="0" hidden="1">2</definedName>
    <definedName name="solver_rlx" localSheetId="2" hidden="1">2</definedName>
    <definedName name="solver_rlx" localSheetId="1" hidden="1">2</definedName>
    <definedName name="solver_rlx" localSheetId="3" hidden="1">2</definedName>
    <definedName name="solver_rsd" localSheetId="0" hidden="1">0</definedName>
    <definedName name="solver_rsd" localSheetId="2" hidden="1">0</definedName>
    <definedName name="solver_rsd" localSheetId="1" hidden="1">0</definedName>
    <definedName name="solver_rsd" localSheetId="3" hidden="1">0</definedName>
    <definedName name="solver_scl" localSheetId="0" hidden="1">1</definedName>
    <definedName name="solver_scl" localSheetId="2" hidden="1">1</definedName>
    <definedName name="solver_scl" localSheetId="1" hidden="1">1</definedName>
    <definedName name="solver_scl" localSheetId="3" hidden="1">2</definedName>
    <definedName name="solver_sho" localSheetId="0" hidden="1">2</definedName>
    <definedName name="solver_sho" localSheetId="2" hidden="1">2</definedName>
    <definedName name="solver_sho" localSheetId="1" hidden="1">2</definedName>
    <definedName name="solver_sho" localSheetId="3" hidden="1">2</definedName>
    <definedName name="solver_ssz" localSheetId="0" hidden="1">100</definedName>
    <definedName name="solver_ssz" localSheetId="2" hidden="1">100</definedName>
    <definedName name="solver_ssz" localSheetId="1" hidden="1">100</definedName>
    <definedName name="solver_ssz" localSheetId="3" hidden="1">100</definedName>
    <definedName name="solver_tim" localSheetId="0" hidden="1">2147483647</definedName>
    <definedName name="solver_tim" localSheetId="2" hidden="1">2147483647</definedName>
    <definedName name="solver_tim" localSheetId="1" hidden="1">2147483647</definedName>
    <definedName name="solver_tim" localSheetId="3" hidden="1">2147483647</definedName>
    <definedName name="solver_tol" localSheetId="0" hidden="1">0.01</definedName>
    <definedName name="solver_tol" localSheetId="2" hidden="1">0.01</definedName>
    <definedName name="solver_tol" localSheetId="1" hidden="1">0.01</definedName>
    <definedName name="solver_tol" localSheetId="3" hidden="1">0.01</definedName>
    <definedName name="solver_typ" localSheetId="0" hidden="1">2</definedName>
    <definedName name="solver_typ" localSheetId="2" hidden="1">2</definedName>
    <definedName name="solver_typ" localSheetId="1" hidden="1">2</definedName>
    <definedName name="solver_typ" localSheetId="3" hidden="1">2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al" localSheetId="3" hidden="1">0</definedName>
    <definedName name="solver_ver" localSheetId="0" hidden="1">3</definedName>
    <definedName name="solver_ver" localSheetId="2" hidden="1">2</definedName>
    <definedName name="solver_ver" localSheetId="1" hidden="1">2</definedName>
    <definedName name="solver_ver" localSheetId="3" hidden="1">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8" l="1"/>
  <c r="I19" i="8"/>
  <c r="F18" i="8"/>
  <c r="I16" i="8"/>
  <c r="I17" i="8" s="1"/>
  <c r="S11" i="6"/>
  <c r="R12" i="6" l="1"/>
  <c r="R11" i="6"/>
  <c r="S15" i="6"/>
  <c r="R13" i="6"/>
  <c r="S12" i="6"/>
  <c r="N24" i="6"/>
  <c r="D16" i="9" l="1"/>
  <c r="D21" i="10"/>
  <c r="M10" i="8"/>
  <c r="C23" i="8"/>
  <c r="E22" i="8" s="1"/>
  <c r="F22" i="8"/>
  <c r="D22" i="8"/>
  <c r="F21" i="8"/>
  <c r="E21" i="8"/>
  <c r="D21" i="8"/>
  <c r="F20" i="8"/>
  <c r="D20" i="8"/>
  <c r="F19" i="8"/>
  <c r="E19" i="8"/>
  <c r="D19" i="8"/>
  <c r="E18" i="8"/>
  <c r="D18" i="8"/>
  <c r="J17" i="8" l="1"/>
  <c r="E20" i="8"/>
  <c r="D23" i="8"/>
  <c r="I20" i="8"/>
  <c r="M9" i="8" s="1"/>
  <c r="E23" i="8"/>
  <c r="D16" i="10"/>
  <c r="H18" i="10" s="1"/>
  <c r="N21" i="10"/>
  <c r="N20" i="10"/>
  <c r="D19" i="10"/>
  <c r="Q13" i="10"/>
  <c r="S12" i="10" s="1"/>
  <c r="N13" i="10"/>
  <c r="N22" i="10" s="1"/>
  <c r="N24" i="10" s="1"/>
  <c r="N25" i="10" s="1"/>
  <c r="R12" i="10"/>
  <c r="R11" i="10"/>
  <c r="F10" i="10"/>
  <c r="S4" i="6"/>
  <c r="E18" i="9"/>
  <c r="R15" i="9"/>
  <c r="R14" i="9"/>
  <c r="Q16" i="9"/>
  <c r="S14" i="9" s="1"/>
  <c r="T9" i="9"/>
  <c r="T10" i="9" s="1"/>
  <c r="N21" i="9"/>
  <c r="N20" i="9"/>
  <c r="D21" i="9"/>
  <c r="D19" i="9"/>
  <c r="F10" i="9"/>
  <c r="D16" i="6"/>
  <c r="H18" i="6" s="1"/>
  <c r="D21" i="6"/>
  <c r="R25" i="6"/>
  <c r="R24" i="6"/>
  <c r="Q26" i="6"/>
  <c r="S24" i="6" s="1"/>
  <c r="T25" i="6"/>
  <c r="T20" i="6"/>
  <c r="T19" i="6"/>
  <c r="Q13" i="6"/>
  <c r="T12" i="6"/>
  <c r="N25" i="6"/>
  <c r="N22" i="6"/>
  <c r="N21" i="6"/>
  <c r="N20" i="6"/>
  <c r="D19" i="6"/>
  <c r="F10" i="6"/>
  <c r="E15" i="6"/>
  <c r="F15" i="6"/>
  <c r="G15" i="6" s="1"/>
  <c r="H15" i="6" s="1"/>
  <c r="R13" i="10" l="1"/>
  <c r="D24" i="10"/>
  <c r="D26" i="10" s="1"/>
  <c r="T12" i="10"/>
  <c r="D20" i="10"/>
  <c r="S11" i="10"/>
  <c r="E18" i="10"/>
  <c r="F18" i="10"/>
  <c r="G18" i="10"/>
  <c r="R16" i="9"/>
  <c r="F18" i="9"/>
  <c r="G18" i="9"/>
  <c r="H18" i="9"/>
  <c r="S15" i="9"/>
  <c r="S16" i="9" s="1"/>
  <c r="D20" i="9"/>
  <c r="E17" i="9" s="1"/>
  <c r="E19" i="9" s="1"/>
  <c r="E24" i="9" s="1"/>
  <c r="E26" i="9" s="1"/>
  <c r="D24" i="9"/>
  <c r="D24" i="6"/>
  <c r="G18" i="6"/>
  <c r="F18" i="6"/>
  <c r="E18" i="6"/>
  <c r="D20" i="6"/>
  <c r="E17" i="6" s="1"/>
  <c r="E19" i="6" s="1"/>
  <c r="E24" i="6" s="1"/>
  <c r="E26" i="6" s="1"/>
  <c r="R26" i="6"/>
  <c r="S25" i="6"/>
  <c r="E20" i="6"/>
  <c r="N13" i="9"/>
  <c r="N22" i="9" s="1"/>
  <c r="N24" i="9" s="1"/>
  <c r="N25" i="9" s="1"/>
  <c r="T15" i="9" s="1"/>
  <c r="N13" i="6"/>
  <c r="E20" i="9" l="1"/>
  <c r="S13" i="10"/>
  <c r="E20" i="10"/>
  <c r="E17" i="10"/>
  <c r="D26" i="9"/>
  <c r="F25" i="6"/>
  <c r="D26" i="6"/>
  <c r="S26" i="6"/>
  <c r="S13" i="6"/>
  <c r="F20" i="6"/>
  <c r="F17" i="6"/>
  <c r="F19" i="6" s="1"/>
  <c r="F24" i="6" s="1"/>
  <c r="F20" i="9" l="1"/>
  <c r="F17" i="9"/>
  <c r="E19" i="10"/>
  <c r="E24" i="10" s="1"/>
  <c r="F20" i="10"/>
  <c r="F17" i="10"/>
  <c r="F19" i="10" s="1"/>
  <c r="F24" i="10" s="1"/>
  <c r="F26" i="6"/>
  <c r="G20" i="6"/>
  <c r="G17" i="6"/>
  <c r="G20" i="9" l="1"/>
  <c r="G17" i="9"/>
  <c r="G19" i="9" s="1"/>
  <c r="G24" i="9" s="1"/>
  <c r="G26" i="9" s="1"/>
  <c r="F19" i="9"/>
  <c r="F24" i="9" s="1"/>
  <c r="F25" i="9"/>
  <c r="F25" i="10"/>
  <c r="F26" i="10" s="1"/>
  <c r="G20" i="10"/>
  <c r="G17" i="10"/>
  <c r="E26" i="10"/>
  <c r="G19" i="6"/>
  <c r="G24" i="6" s="1"/>
  <c r="H20" i="6"/>
  <c r="H17" i="6"/>
  <c r="H19" i="6" s="1"/>
  <c r="H24" i="6" s="1"/>
  <c r="F26" i="9" l="1"/>
  <c r="H20" i="9"/>
  <c r="H17" i="9"/>
  <c r="G19" i="10"/>
  <c r="G24" i="10" s="1"/>
  <c r="H20" i="10"/>
  <c r="H17" i="10"/>
  <c r="H19" i="10" s="1"/>
  <c r="H24" i="10" s="1"/>
  <c r="E28" i="9"/>
  <c r="E30" i="9" s="1"/>
  <c r="H25" i="6"/>
  <c r="H26" i="6" s="1"/>
  <c r="G26" i="6"/>
  <c r="E28" i="6"/>
  <c r="E30" i="6" s="1"/>
  <c r="H19" i="9" l="1"/>
  <c r="H24" i="9" s="1"/>
  <c r="H25" i="9"/>
  <c r="H26" i="9" s="1"/>
  <c r="I28" i="9" s="1"/>
  <c r="I30" i="9" s="1"/>
  <c r="T14" i="9" s="1"/>
  <c r="S18" i="9" s="1"/>
  <c r="S3" i="9" s="1"/>
  <c r="G26" i="10"/>
  <c r="E28" i="10"/>
  <c r="E30" i="10" s="1"/>
  <c r="H25" i="10"/>
  <c r="H26" i="10" s="1"/>
  <c r="I28" i="6"/>
  <c r="I30" i="6" s="1"/>
  <c r="I28" i="10" l="1"/>
  <c r="I30" i="10" s="1"/>
  <c r="T24" i="6"/>
  <c r="S28" i="6" s="1"/>
  <c r="T11" i="6"/>
  <c r="S3" i="6" s="1"/>
  <c r="T11" i="10" l="1"/>
  <c r="S15" i="10" s="1"/>
  <c r="S3" i="10" s="1"/>
</calcChain>
</file>

<file path=xl/sharedStrings.xml><?xml version="1.0" encoding="utf-8"?>
<sst xmlns="http://schemas.openxmlformats.org/spreadsheetml/2006/main" count="247" uniqueCount="83">
  <si>
    <t>FLUJO DE CAJA LIBRE TRIMESTRAL EN MILLONES DE COP</t>
  </si>
  <si>
    <t>Periodo</t>
  </si>
  <si>
    <t>¿El proyecto es económicamente viable?</t>
  </si>
  <si>
    <t xml:space="preserve">FCL </t>
  </si>
  <si>
    <t>D E U D A</t>
  </si>
  <si>
    <t>E Q U I T Y</t>
  </si>
  <si>
    <t>W A C C</t>
  </si>
  <si>
    <t>Amortización Constante Semestral</t>
  </si>
  <si>
    <t>Emisión de Acciones</t>
  </si>
  <si>
    <t>Monto Máximo</t>
  </si>
  <si>
    <t>Precio de emisión</t>
  </si>
  <si>
    <t>Fuente</t>
  </si>
  <si>
    <t>Monto Solicitado</t>
  </si>
  <si>
    <t>Monto Recibido</t>
  </si>
  <si>
    <t>[%]</t>
  </si>
  <si>
    <t>k(i)</t>
  </si>
  <si>
    <t>Tasa de Interés</t>
  </si>
  <si>
    <t>NA/SV</t>
  </si>
  <si>
    <t>SV</t>
  </si>
  <si>
    <t>Crecimiento anual</t>
  </si>
  <si>
    <t>Tasa Impositiva</t>
  </si>
  <si>
    <t>Dividendo anual hoy</t>
  </si>
  <si>
    <t>D1</t>
  </si>
  <si>
    <t>Plazo</t>
  </si>
  <si>
    <t>E1</t>
  </si>
  <si>
    <t>Comisión</t>
  </si>
  <si>
    <t>Total</t>
  </si>
  <si>
    <t>WACC</t>
  </si>
  <si>
    <t>TV</t>
  </si>
  <si>
    <t>Adquisición Deuda</t>
  </si>
  <si>
    <t>Interés</t>
  </si>
  <si>
    <t>Amortización</t>
  </si>
  <si>
    <t>Cuota</t>
  </si>
  <si>
    <t>Restricción D/E de 1,5</t>
  </si>
  <si>
    <t>%D</t>
  </si>
  <si>
    <t>Saldo</t>
  </si>
  <si>
    <t>%E</t>
  </si>
  <si>
    <t>Seguro</t>
  </si>
  <si>
    <t>P0</t>
  </si>
  <si>
    <t>Reciprocidades</t>
  </si>
  <si>
    <t>FCD (Pre-Tax)</t>
  </si>
  <si>
    <t>Ke (EA)</t>
  </si>
  <si>
    <t>Ahorro Tributario</t>
  </si>
  <si>
    <t>Ke (TV)</t>
  </si>
  <si>
    <t>FCD (Post-Tax)</t>
  </si>
  <si>
    <t>Kd (Pre - Tax)</t>
  </si>
  <si>
    <t>Kd (Post - Tax)</t>
  </si>
  <si>
    <t>FCL (Trimestral)</t>
  </si>
  <si>
    <t>Para financiar el proyecto anterior, usted cuenta con las siguientes fuentes de financiación.</t>
  </si>
  <si>
    <t>k(i) (E.A)</t>
  </si>
  <si>
    <t>Datos Adicionales</t>
  </si>
  <si>
    <t>Crédito Proveedor CP</t>
  </si>
  <si>
    <t>-</t>
  </si>
  <si>
    <t>Banco 1 LP</t>
  </si>
  <si>
    <t>VPN</t>
  </si>
  <si>
    <t>Banco 2 LP</t>
  </si>
  <si>
    <t>TIR</t>
  </si>
  <si>
    <t>Banco 3 LP</t>
  </si>
  <si>
    <t>Utilidades Retenidas</t>
  </si>
  <si>
    <t>Ilimitado</t>
  </si>
  <si>
    <t>Emisión Acciones</t>
  </si>
  <si>
    <t>Esperado</t>
  </si>
  <si>
    <t>Real</t>
  </si>
  <si>
    <t>EA</t>
  </si>
  <si>
    <t>Le proponen un negocio con los siguientes flujos de caja trimestrales:</t>
  </si>
  <si>
    <t>Costo de emisión del 5%</t>
  </si>
  <si>
    <t>Nota: usted considera que la relación Deuda/Equity más adecuada para el proyecto es de 2</t>
  </si>
  <si>
    <t>Comisión 2% del monto solicitado al momento del desembolso</t>
  </si>
  <si>
    <t>Tasa de interés = 10% A.A.</t>
  </si>
  <si>
    <t>al momento del desembolso</t>
  </si>
  <si>
    <t>sobre el monto solicitado al momento del desembolso</t>
  </si>
  <si>
    <t>VPN (con restricción D/E)</t>
  </si>
  <si>
    <t>Con restricción D/E</t>
  </si>
  <si>
    <t>años</t>
  </si>
  <si>
    <t>VPN (sin restricción D/E)</t>
  </si>
  <si>
    <t>Sin restricción D/E</t>
  </si>
  <si>
    <t>Sobre los Montos Solicitados</t>
  </si>
  <si>
    <t>Costo de emisión (%)</t>
  </si>
  <si>
    <t>Costo de emisión ($)</t>
  </si>
  <si>
    <t>Dividendo en 1</t>
  </si>
  <si>
    <t>Tasa impositiva</t>
  </si>
  <si>
    <t>VPN (Sin restricción D/E)</t>
  </si>
  <si>
    <t>VPN (Con restricción D/E)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</si>
</sst>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$&quot;\ * #,##0_-;\-&quot;$&quot;\ * #,##0_-;_-&quot;$&quot;\ * &quot;-&quot;_-;_-@_-"/>
    <numFmt numFmtId="165" formatCode="_-&quot;$&quot;\ * #,##0.00_-;\-&quot;$&quot;\ * #,##0.00_-;_-&quot;$&quot;\ * &quot;-&quot;??_-;_-@_-"/>
    <numFmt numFmtId="166" formatCode="&quot;$&quot;\ #,##0"/>
    <numFmt numFmtId="167" formatCode="0.0%"/>
    <numFmt numFmtId="168" formatCode="&quot;$&quot;\ #,##0.00"/>
    <numFmt numFmtId="169" formatCode="_-&quot;$&quot;\ * #,##0_-;\-&quot;$&quot;\ * #,##0_-;_-&quot;$&quot;\ * &quot;-&quot;??_-;_-@_-"/>
    <numFmt numFmtId="170" formatCode="&quot;$&quot;#,##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rgb="FF000000"/>
      <name val="Century Gothic"/>
      <family val="2"/>
    </font>
    <font>
      <b/>
      <sz val="10"/>
      <color theme="0"/>
      <name val="Century Gothic"/>
      <family val="2"/>
    </font>
    <font>
      <b/>
      <sz val="10"/>
      <color rgb="FFFFFFFF"/>
      <name val="Century Gothic"/>
      <family val="2"/>
    </font>
    <font>
      <b/>
      <sz val="10"/>
      <color rgb="FFC00000"/>
      <name val="Century Gothic"/>
      <family val="2"/>
    </font>
    <font>
      <b/>
      <sz val="10"/>
      <color theme="7" tint="-0.249977111117893"/>
      <name val="Century Gothic"/>
      <family val="2"/>
    </font>
    <font>
      <strike/>
      <sz val="10"/>
      <color rgb="FFFF0000"/>
      <name val="Century Gothic"/>
      <family val="2"/>
    </font>
    <font>
      <b/>
      <sz val="10"/>
      <name val="Century Gothic"/>
      <family val="2"/>
    </font>
    <font>
      <b/>
      <sz val="10"/>
      <color theme="7" tint="-0.499984740745262"/>
      <name val="Century Gothic"/>
      <family val="2"/>
    </font>
    <font>
      <b/>
      <sz val="9"/>
      <color theme="7" tint="-0.499984740745262"/>
      <name val="Century Gothic"/>
      <family val="2"/>
    </font>
    <font>
      <b/>
      <sz val="10"/>
      <color rgb="FF000000"/>
      <name val="Century Gothic"/>
      <family val="1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485056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53">
    <xf numFmtId="0" fontId="0" fillId="0" borderId="0" xfId="0"/>
    <xf numFmtId="0" fontId="3" fillId="2" borderId="0" xfId="0" applyFont="1" applyFill="1" applyAlignment="1">
      <alignment vertical="center"/>
    </xf>
    <xf numFmtId="0" fontId="6" fillId="15" borderId="10" xfId="0" applyFont="1" applyFill="1" applyBorder="1" applyAlignment="1">
      <alignment horizontal="center" vertical="center" wrapText="1" readingOrder="1"/>
    </xf>
    <xf numFmtId="0" fontId="5" fillId="8" borderId="12" xfId="0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 wrapText="1"/>
    </xf>
    <xf numFmtId="0" fontId="5" fillId="7" borderId="18" xfId="0" applyFont="1" applyFill="1" applyBorder="1" applyAlignment="1">
      <alignment horizontal="center" vertical="center" wrapText="1"/>
    </xf>
    <xf numFmtId="0" fontId="5" fillId="7" borderId="19" xfId="0" applyFont="1" applyFill="1" applyBorder="1" applyAlignment="1">
      <alignment horizontal="center" vertical="center" wrapText="1"/>
    </xf>
    <xf numFmtId="0" fontId="6" fillId="15" borderId="9" xfId="0" applyFont="1" applyFill="1" applyBorder="1" applyAlignment="1">
      <alignment horizontal="center" vertical="center" wrapText="1" readingOrder="1"/>
    </xf>
    <xf numFmtId="0" fontId="6" fillId="15" borderId="10" xfId="0" applyFont="1" applyFill="1" applyBorder="1" applyAlignment="1">
      <alignment horizontal="center" vertical="center" wrapText="1" readingOrder="1"/>
    </xf>
    <xf numFmtId="0" fontId="6" fillId="15" borderId="11" xfId="0" applyFont="1" applyFill="1" applyBorder="1" applyAlignment="1">
      <alignment horizontal="center" vertical="center" wrapText="1" readingOrder="1"/>
    </xf>
    <xf numFmtId="0" fontId="3" fillId="6" borderId="14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3" fillId="14" borderId="14" xfId="0" applyFont="1" applyFill="1" applyBorder="1" applyAlignment="1">
      <alignment horizontal="center" vertical="center"/>
    </xf>
    <xf numFmtId="0" fontId="3" fillId="14" borderId="18" xfId="0" applyFont="1" applyFill="1" applyBorder="1" applyAlignment="1">
      <alignment horizontal="center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0" xfId="0" applyFont="1" applyFill="1" applyBorder="1" applyAlignment="1">
      <alignment horizontal="center" vertical="center" wrapText="1"/>
    </xf>
    <xf numFmtId="0" fontId="3" fillId="14" borderId="21" xfId="0" applyFont="1" applyFill="1" applyBorder="1" applyAlignment="1">
      <alignment horizontal="center" vertical="center"/>
    </xf>
    <xf numFmtId="0" fontId="3" fillId="14" borderId="20" xfId="0" applyFont="1" applyFill="1" applyBorder="1" applyAlignment="1">
      <alignment horizontal="center" vertical="center"/>
    </xf>
    <xf numFmtId="0" fontId="3" fillId="14" borderId="15" xfId="0" applyFont="1" applyFill="1" applyBorder="1" applyAlignment="1">
      <alignment horizontal="center" vertical="center"/>
    </xf>
    <xf numFmtId="0" fontId="3" fillId="14" borderId="19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166" fontId="13" fillId="2" borderId="13" xfId="0" applyNumberFormat="1" applyFont="1" applyFill="1" applyBorder="1" applyAlignment="1">
      <alignment horizontal="center" vertical="center" wrapText="1" readingOrder="1"/>
    </xf>
    <xf numFmtId="166" fontId="13" fillId="2" borderId="13" xfId="0" applyNumberFormat="1" applyFont="1" applyFill="1" applyBorder="1" applyAlignment="1">
      <alignment horizontal="center" vertical="center" wrapText="1" readingOrder="1"/>
    </xf>
    <xf numFmtId="0" fontId="2" fillId="2" borderId="0" xfId="0" applyFont="1" applyFill="1" applyAlignment="1">
      <alignment vertical="center"/>
    </xf>
    <xf numFmtId="10" fontId="2" fillId="2" borderId="0" xfId="0" applyNumberFormat="1" applyFont="1" applyFill="1" applyAlignment="1">
      <alignment vertical="center"/>
    </xf>
    <xf numFmtId="0" fontId="5" fillId="17" borderId="1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66" fontId="2" fillId="2" borderId="13" xfId="0" applyNumberFormat="1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center" vertical="center" wrapText="1" readingOrder="1"/>
    </xf>
    <xf numFmtId="3" fontId="4" fillId="2" borderId="0" xfId="0" applyNumberFormat="1" applyFont="1" applyFill="1" applyAlignment="1">
      <alignment horizontal="center" vertical="center" wrapText="1" readingOrder="1"/>
    </xf>
    <xf numFmtId="9" fontId="4" fillId="2" borderId="0" xfId="0" applyNumberFormat="1" applyFont="1" applyFill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 readingOrder="1"/>
    </xf>
    <xf numFmtId="0" fontId="4" fillId="2" borderId="18" xfId="0" applyFont="1" applyFill="1" applyBorder="1" applyAlignment="1">
      <alignment horizontal="center" vertical="center" wrapText="1" readingOrder="1"/>
    </xf>
    <xf numFmtId="0" fontId="4" fillId="2" borderId="20" xfId="0" applyFont="1" applyFill="1" applyBorder="1" applyAlignment="1">
      <alignment horizontal="center" vertical="center" wrapText="1" readingOrder="1"/>
    </xf>
    <xf numFmtId="0" fontId="4" fillId="2" borderId="20" xfId="0" applyFont="1" applyFill="1" applyBorder="1" applyAlignment="1">
      <alignment horizontal="center" vertical="center" wrapText="1" readingOrder="1"/>
    </xf>
    <xf numFmtId="9" fontId="4" fillId="2" borderId="20" xfId="0" applyNumberFormat="1" applyFont="1" applyFill="1" applyBorder="1" applyAlignment="1">
      <alignment horizontal="center" vertical="center" wrapText="1" readingOrder="1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10" fontId="2" fillId="2" borderId="12" xfId="2" applyNumberFormat="1" applyFont="1" applyFill="1" applyBorder="1" applyAlignment="1">
      <alignment horizontal="center" vertical="center"/>
    </xf>
    <xf numFmtId="10" fontId="2" fillId="2" borderId="11" xfId="0" applyNumberFormat="1" applyFont="1" applyFill="1" applyBorder="1" applyAlignment="1">
      <alignment horizontal="center" vertical="center"/>
    </xf>
    <xf numFmtId="10" fontId="2" fillId="2" borderId="22" xfId="0" applyNumberFormat="1" applyFont="1" applyFill="1" applyBorder="1" applyAlignment="1">
      <alignment horizontal="center" vertical="center"/>
    </xf>
    <xf numFmtId="10" fontId="2" fillId="2" borderId="19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10" fontId="2" fillId="2" borderId="0" xfId="2" applyNumberFormat="1" applyFont="1" applyFill="1" applyBorder="1" applyAlignment="1">
      <alignment horizontal="center" vertical="center"/>
    </xf>
    <xf numFmtId="10" fontId="2" fillId="2" borderId="17" xfId="2" applyNumberFormat="1" applyFont="1" applyFill="1" applyBorder="1" applyAlignment="1">
      <alignment horizontal="center" vertical="center"/>
    </xf>
    <xf numFmtId="166" fontId="2" fillId="2" borderId="0" xfId="0" applyNumberFormat="1" applyFont="1" applyFill="1" applyAlignment="1">
      <alignment vertical="center"/>
    </xf>
    <xf numFmtId="0" fontId="3" fillId="16" borderId="12" xfId="0" applyFont="1" applyFill="1" applyBorder="1" applyAlignment="1">
      <alignment horizontal="center" vertical="center"/>
    </xf>
    <xf numFmtId="10" fontId="2" fillId="2" borderId="11" xfId="2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6" borderId="10" xfId="0" applyNumberFormat="1" applyFont="1" applyFill="1" applyBorder="1" applyAlignment="1">
      <alignment horizontal="center" vertical="center"/>
    </xf>
    <xf numFmtId="10" fontId="3" fillId="6" borderId="10" xfId="2" applyNumberFormat="1" applyFont="1" applyFill="1" applyBorder="1" applyAlignment="1">
      <alignment horizontal="center" vertical="center"/>
    </xf>
    <xf numFmtId="10" fontId="3" fillId="6" borderId="11" xfId="2" applyNumberFormat="1" applyFont="1" applyFill="1" applyBorder="1" applyAlignment="1">
      <alignment vertical="center"/>
    </xf>
    <xf numFmtId="166" fontId="3" fillId="2" borderId="11" xfId="0" applyNumberFormat="1" applyFont="1" applyFill="1" applyBorder="1" applyAlignment="1">
      <alignment horizontal="center" vertical="center"/>
    </xf>
    <xf numFmtId="10" fontId="3" fillId="2" borderId="19" xfId="2" applyNumberFormat="1" applyFont="1" applyFill="1" applyBorder="1" applyAlignment="1">
      <alignment horizontal="center" vertical="center"/>
    </xf>
    <xf numFmtId="0" fontId="5" fillId="17" borderId="13" xfId="0" applyFont="1" applyFill="1" applyBorder="1" applyAlignment="1">
      <alignment horizontal="center" vertical="center"/>
    </xf>
    <xf numFmtId="9" fontId="2" fillId="2" borderId="0" xfId="0" applyNumberFormat="1" applyFont="1" applyFill="1" applyAlignment="1">
      <alignment vertical="center"/>
    </xf>
    <xf numFmtId="0" fontId="5" fillId="10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/>
    </xf>
    <xf numFmtId="0" fontId="5" fillId="12" borderId="11" xfId="0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/>
    </xf>
    <xf numFmtId="0" fontId="5" fillId="13" borderId="10" xfId="0" applyFont="1" applyFill="1" applyBorder="1" applyAlignment="1">
      <alignment horizontal="center" vertical="center"/>
    </xf>
    <xf numFmtId="0" fontId="5" fillId="13" borderId="1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164" fontId="2" fillId="0" borderId="0" xfId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7" xfId="0" applyFont="1" applyBorder="1" applyAlignment="1">
      <alignment vertical="center"/>
    </xf>
    <xf numFmtId="0" fontId="3" fillId="2" borderId="16" xfId="0" applyFont="1" applyFill="1" applyBorder="1" applyAlignment="1">
      <alignment horizontal="center" vertical="center"/>
    </xf>
    <xf numFmtId="166" fontId="2" fillId="2" borderId="17" xfId="0" applyNumberFormat="1" applyFont="1" applyFill="1" applyBorder="1" applyAlignment="1">
      <alignment horizontal="center" vertical="center"/>
    </xf>
    <xf numFmtId="10" fontId="2" fillId="0" borderId="0" xfId="0" applyNumberFormat="1" applyFont="1" applyAlignment="1">
      <alignment vertical="center"/>
    </xf>
    <xf numFmtId="10" fontId="2" fillId="9" borderId="12" xfId="2" applyNumberFormat="1" applyFont="1" applyFill="1" applyBorder="1" applyAlignment="1">
      <alignment horizontal="center" vertical="center"/>
    </xf>
    <xf numFmtId="167" fontId="2" fillId="2" borderId="17" xfId="2" applyNumberFormat="1" applyFont="1" applyFill="1" applyBorder="1" applyAlignment="1">
      <alignment horizontal="center" vertical="center"/>
    </xf>
    <xf numFmtId="9" fontId="2" fillId="0" borderId="0" xfId="0" applyNumberFormat="1" applyFont="1" applyAlignment="1">
      <alignment vertical="center"/>
    </xf>
    <xf numFmtId="168" fontId="2" fillId="2" borderId="17" xfId="0" applyNumberFormat="1" applyFont="1" applyFill="1" applyBorder="1" applyAlignment="1">
      <alignment horizontal="center" vertical="center"/>
    </xf>
    <xf numFmtId="9" fontId="2" fillId="2" borderId="17" xfId="0" applyNumberFormat="1" applyFont="1" applyFill="1" applyBorder="1" applyAlignment="1">
      <alignment horizontal="center" vertical="center"/>
    </xf>
    <xf numFmtId="9" fontId="9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vertical="center"/>
    </xf>
    <xf numFmtId="170" fontId="11" fillId="18" borderId="0" xfId="1" applyNumberFormat="1" applyFont="1" applyFill="1" applyBorder="1" applyAlignment="1">
      <alignment horizontal="center" vertical="center"/>
    </xf>
    <xf numFmtId="0" fontId="12" fillId="18" borderId="0" xfId="0" applyFont="1" applyFill="1" applyAlignment="1">
      <alignment vertical="center"/>
    </xf>
    <xf numFmtId="0" fontId="2" fillId="18" borderId="0" xfId="0" applyFont="1" applyFill="1" applyAlignment="1">
      <alignment vertical="center"/>
    </xf>
    <xf numFmtId="0" fontId="2" fillId="2" borderId="17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0" fontId="3" fillId="6" borderId="10" xfId="2" applyNumberFormat="1" applyFont="1" applyFill="1" applyBorder="1" applyAlignment="1">
      <alignment vertical="center"/>
    </xf>
    <xf numFmtId="0" fontId="3" fillId="6" borderId="12" xfId="0" applyFont="1" applyFill="1" applyBorder="1" applyAlignment="1">
      <alignment horizontal="center" vertical="center"/>
    </xf>
    <xf numFmtId="166" fontId="2" fillId="4" borderId="13" xfId="0" applyNumberFormat="1" applyFont="1" applyFill="1" applyBorder="1" applyAlignment="1">
      <alignment horizontal="center" vertical="center"/>
    </xf>
    <xf numFmtId="166" fontId="2" fillId="19" borderId="13" xfId="0" applyNumberFormat="1" applyFont="1" applyFill="1" applyBorder="1" applyAlignment="1">
      <alignment horizontal="center" vertical="center"/>
    </xf>
    <xf numFmtId="10" fontId="2" fillId="2" borderId="0" xfId="0" applyNumberFormat="1" applyFont="1" applyFill="1" applyAlignment="1">
      <alignment horizontal="left" vertical="center"/>
    </xf>
    <xf numFmtId="0" fontId="3" fillId="9" borderId="13" xfId="0" applyFont="1" applyFill="1" applyBorder="1" applyAlignment="1">
      <alignment horizontal="center" vertical="center"/>
    </xf>
    <xf numFmtId="166" fontId="3" fillId="9" borderId="13" xfId="0" applyNumberFormat="1" applyFont="1" applyFill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10" fillId="11" borderId="12" xfId="0" applyFont="1" applyFill="1" applyBorder="1" applyAlignment="1">
      <alignment horizontal="center" vertical="center"/>
    </xf>
    <xf numFmtId="10" fontId="2" fillId="2" borderId="12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4" borderId="12" xfId="0" applyFont="1" applyFill="1" applyBorder="1" applyAlignment="1">
      <alignment horizontal="center" vertical="center"/>
    </xf>
    <xf numFmtId="10" fontId="3" fillId="0" borderId="11" xfId="0" applyNumberFormat="1" applyFont="1" applyBorder="1" applyAlignment="1">
      <alignment horizontal="center" vertical="center"/>
    </xf>
    <xf numFmtId="10" fontId="3" fillId="0" borderId="12" xfId="0" applyNumberFormat="1" applyFont="1" applyBorder="1" applyAlignment="1">
      <alignment horizontal="center" vertical="center"/>
    </xf>
    <xf numFmtId="9" fontId="2" fillId="2" borderId="0" xfId="2" applyFont="1" applyFill="1" applyAlignment="1">
      <alignment vertical="center"/>
    </xf>
    <xf numFmtId="10" fontId="3" fillId="0" borderId="0" xfId="0" applyNumberFormat="1" applyFont="1" applyAlignment="1">
      <alignment horizontal="center" vertical="center"/>
    </xf>
    <xf numFmtId="0" fontId="2" fillId="2" borderId="20" xfId="0" applyFont="1" applyFill="1" applyBorder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9" fontId="2" fillId="2" borderId="0" xfId="2" applyFont="1" applyFill="1" applyBorder="1" applyAlignment="1">
      <alignment horizontal="center" vertical="center"/>
    </xf>
    <xf numFmtId="0" fontId="3" fillId="14" borderId="9" xfId="0" applyFont="1" applyFill="1" applyBorder="1" applyAlignment="1">
      <alignment horizontal="center" vertical="center"/>
    </xf>
    <xf numFmtId="166" fontId="3" fillId="14" borderId="10" xfId="0" applyNumberFormat="1" applyFont="1" applyFill="1" applyBorder="1" applyAlignment="1">
      <alignment horizontal="center" vertical="center"/>
    </xf>
    <xf numFmtId="10" fontId="3" fillId="14" borderId="10" xfId="2" applyNumberFormat="1" applyFont="1" applyFill="1" applyBorder="1" applyAlignment="1">
      <alignment vertical="center"/>
    </xf>
    <xf numFmtId="10" fontId="3" fillId="14" borderId="11" xfId="2" applyNumberFormat="1" applyFont="1" applyFill="1" applyBorder="1" applyAlignment="1">
      <alignment vertical="center"/>
    </xf>
    <xf numFmtId="0" fontId="3" fillId="14" borderId="12" xfId="0" applyFont="1" applyFill="1" applyBorder="1" applyAlignment="1">
      <alignment horizontal="center" vertical="center"/>
    </xf>
    <xf numFmtId="169" fontId="2" fillId="2" borderId="0" xfId="3" applyNumberFormat="1" applyFont="1" applyFill="1" applyAlignment="1">
      <alignment vertical="center"/>
    </xf>
    <xf numFmtId="9" fontId="2" fillId="0" borderId="0" xfId="2" applyFont="1" applyBorder="1" applyAlignment="1">
      <alignment vertical="center"/>
    </xf>
    <xf numFmtId="168" fontId="2" fillId="2" borderId="17" xfId="0" applyNumberFormat="1" applyFont="1" applyFill="1" applyBorder="1" applyAlignment="1">
      <alignment vertical="center"/>
    </xf>
  </cellXfs>
  <cellStyles count="4">
    <cellStyle name="Currency" xfId="3" builtinId="4"/>
    <cellStyle name="Currency [0]" xfId="1" builtinId="7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790787</xdr:colOff>
      <xdr:row>13</xdr:row>
      <xdr:rowOff>103717</xdr:rowOff>
    </xdr:from>
    <xdr:to>
      <xdr:col>13</xdr:col>
      <xdr:colOff>152400</xdr:colOff>
      <xdr:row>15</xdr:row>
      <xdr:rowOff>138197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2AB984-2401-4531-ADE8-83B8612544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8382"/>
        <a:stretch/>
      </xdr:blipFill>
      <xdr:spPr>
        <a:xfrm>
          <a:off x="11448627" y="2430357"/>
          <a:ext cx="1139613" cy="400240"/>
        </a:xfrm>
        <a:prstGeom prst="rect">
          <a:avLst/>
        </a:prstGeom>
      </xdr:spPr>
    </xdr:pic>
    <xdr:clientData/>
  </xdr:twoCellAnchor>
  <xdr:twoCellAnchor editAs="oneCell">
    <xdr:from>
      <xdr:col>12</xdr:col>
      <xdr:colOff>78317</xdr:colOff>
      <xdr:row>16</xdr:row>
      <xdr:rowOff>46570</xdr:rowOff>
    </xdr:from>
    <xdr:to>
      <xdr:col>13</xdr:col>
      <xdr:colOff>789517</xdr:colOff>
      <xdr:row>18</xdr:row>
      <xdr:rowOff>86413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2C60C0AA-8B67-46F2-856D-AB1392B89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92193" y="2808820"/>
          <a:ext cx="2356907" cy="355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838201</xdr:colOff>
      <xdr:row>13</xdr:row>
      <xdr:rowOff>103717</xdr:rowOff>
    </xdr:from>
    <xdr:to>
      <xdr:col>12</xdr:col>
      <xdr:colOff>1885084</xdr:colOff>
      <xdr:row>15</xdr:row>
      <xdr:rowOff>158750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8D769D-12AB-4153-939D-0980AAED67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8382"/>
        <a:stretch/>
      </xdr:blipFill>
      <xdr:spPr>
        <a:xfrm>
          <a:off x="14120284" y="2410884"/>
          <a:ext cx="1046883" cy="414866"/>
        </a:xfrm>
        <a:prstGeom prst="rect">
          <a:avLst/>
        </a:prstGeom>
      </xdr:spPr>
    </xdr:pic>
    <xdr:clientData/>
  </xdr:twoCellAnchor>
  <xdr:twoCellAnchor editAs="oneCell">
    <xdr:from>
      <xdr:col>12</xdr:col>
      <xdr:colOff>78317</xdr:colOff>
      <xdr:row>16</xdr:row>
      <xdr:rowOff>46570</xdr:rowOff>
    </xdr:from>
    <xdr:to>
      <xdr:col>13</xdr:col>
      <xdr:colOff>459317</xdr:colOff>
      <xdr:row>18</xdr:row>
      <xdr:rowOff>111813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E7948E56-1178-4848-9AA9-AE95082C3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03242" y="2764370"/>
          <a:ext cx="2343150" cy="3605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865726</xdr:colOff>
      <xdr:row>13</xdr:row>
      <xdr:rowOff>74086</xdr:rowOff>
    </xdr:from>
    <xdr:to>
      <xdr:col>12</xdr:col>
      <xdr:colOff>1912609</xdr:colOff>
      <xdr:row>15</xdr:row>
      <xdr:rowOff>139702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7A2D8116-F81C-A148-89C8-D759558228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8382"/>
        <a:stretch/>
      </xdr:blipFill>
      <xdr:spPr>
        <a:xfrm>
          <a:off x="14147809" y="2381253"/>
          <a:ext cx="1046883" cy="414866"/>
        </a:xfrm>
        <a:prstGeom prst="rect">
          <a:avLst/>
        </a:prstGeom>
      </xdr:spPr>
    </xdr:pic>
    <xdr:clientData/>
  </xdr:twoCellAnchor>
  <xdr:twoCellAnchor editAs="oneCell">
    <xdr:from>
      <xdr:col>12</xdr:col>
      <xdr:colOff>105842</xdr:colOff>
      <xdr:row>16</xdr:row>
      <xdr:rowOff>16939</xdr:rowOff>
    </xdr:from>
    <xdr:to>
      <xdr:col>13</xdr:col>
      <xdr:colOff>486842</xdr:colOff>
      <xdr:row>18</xdr:row>
      <xdr:rowOff>61015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B5CB0456-78E4-794F-8AF6-AF37635BE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87925" y="2853272"/>
          <a:ext cx="2529417" cy="403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6DE1B-E003-4529-961B-3119794CD4DE}">
  <sheetPr>
    <tabColor theme="9" tint="0.39997558519241921"/>
  </sheetPr>
  <dimension ref="B1:U40"/>
  <sheetViews>
    <sheetView showGridLines="0" tabSelected="1" zoomScale="125" zoomScaleNormal="170" workbookViewId="0">
      <selection activeCell="H12" sqref="H12"/>
    </sheetView>
  </sheetViews>
  <sheetFormatPr baseColWidth="10" defaultColWidth="11.5" defaultRowHeight="13" x14ac:dyDescent="0.2"/>
  <cols>
    <col min="1" max="1" width="2.6640625" style="40" customWidth="1"/>
    <col min="2" max="2" width="9" style="40" bestFit="1" customWidth="1"/>
    <col min="3" max="3" width="22" style="40" bestFit="1" customWidth="1"/>
    <col min="4" max="4" width="15.1640625" style="40" bestFit="1" customWidth="1"/>
    <col min="5" max="5" width="12.33203125" style="40" customWidth="1"/>
    <col min="6" max="7" width="11.6640625" style="40" customWidth="1"/>
    <col min="8" max="8" width="16.1640625" style="40" bestFit="1" customWidth="1"/>
    <col min="9" max="11" width="11.6640625" style="40" customWidth="1"/>
    <col min="12" max="12" width="3.6640625" style="40" customWidth="1"/>
    <col min="13" max="13" width="23.33203125" style="40" bestFit="1" customWidth="1"/>
    <col min="14" max="14" width="13.5" style="40" bestFit="1" customWidth="1"/>
    <col min="15" max="15" width="3.6640625" style="40" customWidth="1"/>
    <col min="16" max="16" width="8.1640625" style="40" customWidth="1"/>
    <col min="17" max="17" width="11.6640625" style="40" customWidth="1"/>
    <col min="18" max="18" width="12.1640625" style="40" customWidth="1"/>
    <col min="19" max="20" width="9" style="40" customWidth="1"/>
    <col min="21" max="21" width="11.5" style="40" bestFit="1" customWidth="1"/>
    <col min="22" max="16384" width="11.5" style="40"/>
  </cols>
  <sheetData>
    <row r="1" spans="2:21" s="40" customFormat="1" ht="10" customHeight="1" x14ac:dyDescent="0.2"/>
    <row r="2" spans="2:21" s="40" customFormat="1" x14ac:dyDescent="0.2">
      <c r="B2" s="78" t="s">
        <v>0</v>
      </c>
      <c r="C2" s="78"/>
      <c r="D2" s="78"/>
      <c r="E2" s="78"/>
      <c r="F2" s="78"/>
      <c r="G2" s="78"/>
      <c r="H2" s="78"/>
      <c r="I2" s="78"/>
      <c r="J2" s="78"/>
      <c r="K2" s="78"/>
    </row>
    <row r="3" spans="2:21" s="40" customFormat="1" ht="16.5" customHeight="1" x14ac:dyDescent="0.2">
      <c r="B3" s="42" t="s">
        <v>1</v>
      </c>
      <c r="C3" s="42">
        <v>0</v>
      </c>
      <c r="D3" s="42">
        <v>1</v>
      </c>
      <c r="E3" s="42">
        <v>2</v>
      </c>
      <c r="F3" s="42">
        <v>3</v>
      </c>
      <c r="G3" s="42">
        <v>4</v>
      </c>
      <c r="H3" s="42">
        <v>5</v>
      </c>
      <c r="I3" s="42">
        <v>6</v>
      </c>
      <c r="J3" s="42">
        <v>7</v>
      </c>
      <c r="K3" s="42">
        <v>8</v>
      </c>
      <c r="M3" s="25" t="s">
        <v>2</v>
      </c>
      <c r="N3" s="26"/>
      <c r="O3" s="1"/>
      <c r="P3" s="21" t="s">
        <v>81</v>
      </c>
      <c r="Q3" s="22"/>
      <c r="R3" s="22"/>
      <c r="S3" s="39">
        <f>+NPV(S15,D4:K4)+C4</f>
        <v>94130.016972461308</v>
      </c>
      <c r="T3" s="1"/>
    </row>
    <row r="4" spans="2:21" s="40" customFormat="1" ht="16.5" customHeight="1" x14ac:dyDescent="0.2">
      <c r="B4" s="43" t="s">
        <v>3</v>
      </c>
      <c r="C4" s="44">
        <v>-150000</v>
      </c>
      <c r="D4" s="44">
        <v>35000</v>
      </c>
      <c r="E4" s="44">
        <v>35000</v>
      </c>
      <c r="F4" s="44">
        <v>35000</v>
      </c>
      <c r="G4" s="44">
        <v>35000</v>
      </c>
      <c r="H4" s="44">
        <v>35000</v>
      </c>
      <c r="I4" s="44">
        <v>35000</v>
      </c>
      <c r="J4" s="44">
        <v>35000</v>
      </c>
      <c r="K4" s="44">
        <v>35000</v>
      </c>
      <c r="M4" s="27"/>
      <c r="N4" s="28"/>
      <c r="O4" s="1"/>
      <c r="P4" s="23" t="s">
        <v>82</v>
      </c>
      <c r="Q4" s="24"/>
      <c r="R4" s="24"/>
      <c r="S4" s="39">
        <f>+NPV(S28,D4:K4)+C4</f>
        <v>91442.911757299036</v>
      </c>
      <c r="T4" s="1"/>
    </row>
    <row r="5" spans="2:21" s="40" customFormat="1" ht="14" thickBot="1" x14ac:dyDescent="0.25">
      <c r="C5" s="79"/>
    </row>
    <row r="6" spans="2:21" s="40" customFormat="1" ht="17.5" customHeight="1" thickBot="1" x14ac:dyDescent="0.25">
      <c r="B6" s="80" t="s">
        <v>4</v>
      </c>
      <c r="C6" s="81"/>
      <c r="D6" s="81"/>
      <c r="E6" s="81"/>
      <c r="F6" s="81"/>
      <c r="G6" s="81"/>
      <c r="H6" s="81"/>
      <c r="I6" s="81"/>
      <c r="J6" s="81"/>
      <c r="K6" s="82"/>
      <c r="M6" s="83" t="s">
        <v>5</v>
      </c>
      <c r="N6" s="84"/>
      <c r="P6" s="85" t="s">
        <v>6</v>
      </c>
      <c r="Q6" s="86"/>
      <c r="R6" s="86"/>
      <c r="S6" s="86"/>
      <c r="T6" s="87"/>
    </row>
    <row r="7" spans="2:21" s="40" customFormat="1" ht="16.5" customHeight="1" thickBot="1" x14ac:dyDescent="0.25">
      <c r="B7" s="88" t="s">
        <v>7</v>
      </c>
      <c r="C7" s="89"/>
      <c r="D7" s="89"/>
      <c r="E7" s="89"/>
      <c r="F7" s="89"/>
      <c r="G7" s="89"/>
      <c r="H7" s="89"/>
      <c r="I7" s="89"/>
      <c r="J7" s="89"/>
      <c r="K7" s="90"/>
      <c r="M7" s="91" t="s">
        <v>8</v>
      </c>
      <c r="N7" s="92"/>
      <c r="P7" s="141" t="s">
        <v>75</v>
      </c>
      <c r="Q7" s="142"/>
      <c r="R7" s="142"/>
      <c r="S7" s="142"/>
      <c r="T7" s="143"/>
    </row>
    <row r="8" spans="2:21" s="40" customFormat="1" ht="10" customHeight="1" thickBot="1" x14ac:dyDescent="0.25">
      <c r="B8" s="96"/>
      <c r="C8" s="97"/>
      <c r="D8" s="97"/>
      <c r="E8" s="97"/>
      <c r="F8" s="97"/>
      <c r="G8" s="97"/>
      <c r="H8" s="97"/>
      <c r="I8" s="97"/>
      <c r="J8" s="97"/>
      <c r="K8" s="98"/>
      <c r="M8" s="99"/>
      <c r="N8" s="100"/>
    </row>
    <row r="9" spans="2:21" s="40" customFormat="1" ht="14" thickBot="1" x14ac:dyDescent="0.25">
      <c r="B9" s="99"/>
      <c r="C9" s="101" t="s">
        <v>9</v>
      </c>
      <c r="D9" s="102">
        <v>112500</v>
      </c>
      <c r="E9" s="103"/>
      <c r="F9" s="103"/>
      <c r="G9" s="103"/>
      <c r="H9" s="103"/>
      <c r="I9" s="103"/>
      <c r="J9" s="103"/>
      <c r="K9" s="104"/>
      <c r="M9" s="105" t="s">
        <v>10</v>
      </c>
      <c r="N9" s="106">
        <v>50</v>
      </c>
      <c r="P9" s="29" t="s">
        <v>11</v>
      </c>
      <c r="Q9" s="31" t="s">
        <v>12</v>
      </c>
      <c r="R9" s="31" t="s">
        <v>13</v>
      </c>
      <c r="S9" s="33" t="s">
        <v>14</v>
      </c>
      <c r="T9" s="35" t="s">
        <v>15</v>
      </c>
    </row>
    <row r="10" spans="2:21" s="40" customFormat="1" ht="14" thickBot="1" x14ac:dyDescent="0.25">
      <c r="B10" s="99"/>
      <c r="C10" s="101" t="s">
        <v>16</v>
      </c>
      <c r="D10" s="107">
        <v>0.105</v>
      </c>
      <c r="E10" s="103" t="s">
        <v>17</v>
      </c>
      <c r="F10" s="108">
        <f>+D10/2</f>
        <v>5.2499999999999998E-2</v>
      </c>
      <c r="G10" s="103" t="s">
        <v>18</v>
      </c>
      <c r="H10" s="103"/>
      <c r="I10" s="103"/>
      <c r="J10" s="103"/>
      <c r="K10" s="104"/>
      <c r="M10" s="105" t="s">
        <v>19</v>
      </c>
      <c r="N10" s="109">
        <v>4.4999999999999998E-2</v>
      </c>
      <c r="P10" s="30"/>
      <c r="Q10" s="32"/>
      <c r="R10" s="32"/>
      <c r="S10" s="34"/>
      <c r="T10" s="36"/>
    </row>
    <row r="11" spans="2:21" s="40" customFormat="1" x14ac:dyDescent="0.2">
      <c r="B11" s="99"/>
      <c r="C11" s="101" t="s">
        <v>20</v>
      </c>
      <c r="D11" s="110">
        <v>0.33</v>
      </c>
      <c r="E11" s="103"/>
      <c r="F11" s="103"/>
      <c r="G11" s="103"/>
      <c r="H11" s="103"/>
      <c r="I11" s="103"/>
      <c r="J11" s="103"/>
      <c r="K11" s="104"/>
      <c r="M11" s="105" t="s">
        <v>21</v>
      </c>
      <c r="N11" s="111">
        <v>7.5</v>
      </c>
      <c r="P11" s="65" t="s">
        <v>22</v>
      </c>
      <c r="Q11" s="66">
        <v>112500</v>
      </c>
      <c r="R11" s="66">
        <f>+Q11*(1-D13)</f>
        <v>106875</v>
      </c>
      <c r="S11" s="67">
        <f>+Q11/$Q$13</f>
        <v>0.71882640146457777</v>
      </c>
      <c r="T11" s="68">
        <f>+I30</f>
        <v>2.5265567994599447E-2</v>
      </c>
    </row>
    <row r="12" spans="2:21" s="40" customFormat="1" ht="14" thickBot="1" x14ac:dyDescent="0.25">
      <c r="B12" s="99"/>
      <c r="C12" s="101" t="s">
        <v>23</v>
      </c>
      <c r="D12" s="103">
        <v>2</v>
      </c>
      <c r="E12" s="103" t="s">
        <v>73</v>
      </c>
      <c r="F12" s="103"/>
      <c r="G12" s="103"/>
      <c r="H12" s="103"/>
      <c r="I12" s="103"/>
      <c r="J12" s="103"/>
      <c r="K12" s="104"/>
      <c r="M12" s="105" t="s">
        <v>77</v>
      </c>
      <c r="N12" s="112">
        <v>0.02</v>
      </c>
      <c r="P12" s="65" t="s">
        <v>24</v>
      </c>
      <c r="Q12" s="66">
        <v>44005.102999536597</v>
      </c>
      <c r="R12" s="66">
        <f>+Q12*(1-N12)</f>
        <v>43125.000939545862</v>
      </c>
      <c r="S12" s="67">
        <f>+Q12/$Q$13</f>
        <v>0.28117359853542212</v>
      </c>
      <c r="T12" s="68">
        <f>+N25</f>
        <v>4.7479923342187869E-2</v>
      </c>
      <c r="U12" s="150"/>
    </row>
    <row r="13" spans="2:21" s="40" customFormat="1" ht="14" thickBot="1" x14ac:dyDescent="0.25">
      <c r="B13" s="99"/>
      <c r="C13" s="101" t="s">
        <v>25</v>
      </c>
      <c r="D13" s="151">
        <v>0.05</v>
      </c>
      <c r="E13" s="103" t="s">
        <v>70</v>
      </c>
      <c r="F13" s="103"/>
      <c r="G13" s="103"/>
      <c r="H13" s="103"/>
      <c r="I13" s="103"/>
      <c r="J13" s="103"/>
      <c r="K13" s="104"/>
      <c r="M13" s="105" t="s">
        <v>80</v>
      </c>
      <c r="N13" s="112">
        <f>D11</f>
        <v>0.33</v>
      </c>
      <c r="P13" s="145" t="s">
        <v>26</v>
      </c>
      <c r="Q13" s="146">
        <f>+SUM(Q11:Q12)</f>
        <v>156505.10299953661</v>
      </c>
      <c r="R13" s="146">
        <f>+R11+R12</f>
        <v>150000.00093954586</v>
      </c>
      <c r="S13" s="147">
        <f>+SUM(S11:S12)</f>
        <v>0.99999999999999989</v>
      </c>
      <c r="T13" s="148"/>
    </row>
    <row r="14" spans="2:21" s="40" customFormat="1" ht="14" thickBot="1" x14ac:dyDescent="0.25">
      <c r="B14" s="99"/>
      <c r="C14" s="103"/>
      <c r="D14" s="103"/>
      <c r="E14" s="103"/>
      <c r="F14" s="103"/>
      <c r="G14" s="103"/>
      <c r="H14" s="103"/>
      <c r="I14" s="103"/>
      <c r="J14" s="103"/>
      <c r="K14" s="104"/>
      <c r="M14" s="99"/>
      <c r="N14" s="100"/>
    </row>
    <row r="15" spans="2:21" s="40" customFormat="1" ht="14" thickBot="1" x14ac:dyDescent="0.25">
      <c r="B15" s="99"/>
      <c r="C15" s="119" t="s">
        <v>1</v>
      </c>
      <c r="D15" s="119">
        <v>0</v>
      </c>
      <c r="E15" s="119">
        <f t="shared" ref="E15:H15" si="0">+D15+1</f>
        <v>1</v>
      </c>
      <c r="F15" s="119">
        <f t="shared" si="0"/>
        <v>2</v>
      </c>
      <c r="G15" s="119">
        <f t="shared" si="0"/>
        <v>3</v>
      </c>
      <c r="H15" s="119">
        <f t="shared" si="0"/>
        <v>4</v>
      </c>
      <c r="I15" s="103"/>
      <c r="J15" s="103"/>
      <c r="K15" s="104"/>
      <c r="M15" s="99"/>
      <c r="N15" s="100"/>
      <c r="R15" s="149" t="s">
        <v>27</v>
      </c>
      <c r="S15" s="71">
        <f>+S11*T11+S12*T12</f>
        <v>3.151165822682548E-2</v>
      </c>
      <c r="T15" s="40" t="s">
        <v>28</v>
      </c>
    </row>
    <row r="16" spans="2:21" s="40" customFormat="1" ht="14" thickBot="1" x14ac:dyDescent="0.25">
      <c r="B16" s="99"/>
      <c r="C16" s="43" t="s">
        <v>29</v>
      </c>
      <c r="D16" s="44">
        <f>+D9</f>
        <v>112500</v>
      </c>
      <c r="E16" s="44">
        <v>0</v>
      </c>
      <c r="F16" s="44">
        <v>0</v>
      </c>
      <c r="G16" s="44">
        <v>0</v>
      </c>
      <c r="H16" s="44">
        <v>0</v>
      </c>
      <c r="I16" s="103"/>
      <c r="J16" s="103"/>
      <c r="K16" s="104"/>
      <c r="M16" s="99"/>
      <c r="N16" s="100"/>
    </row>
    <row r="17" spans="2:20" s="40" customFormat="1" ht="14" thickBot="1" x14ac:dyDescent="0.25">
      <c r="B17" s="99"/>
      <c r="C17" s="43" t="s">
        <v>30</v>
      </c>
      <c r="D17" s="44">
        <v>0</v>
      </c>
      <c r="E17" s="44">
        <f t="shared" ref="E17:H17" si="1">+D20*$F$10</f>
        <v>5906.25</v>
      </c>
      <c r="F17" s="44">
        <f t="shared" si="1"/>
        <v>4429.6875</v>
      </c>
      <c r="G17" s="44">
        <f t="shared" si="1"/>
        <v>2953.125</v>
      </c>
      <c r="H17" s="44">
        <f t="shared" si="1"/>
        <v>1476.5625</v>
      </c>
      <c r="I17" s="103"/>
      <c r="J17" s="103"/>
      <c r="K17" s="104"/>
      <c r="M17" s="99"/>
      <c r="N17" s="100"/>
      <c r="P17" s="93" t="s">
        <v>72</v>
      </c>
      <c r="Q17" s="94"/>
      <c r="R17" s="94"/>
      <c r="S17" s="94"/>
      <c r="T17" s="95"/>
    </row>
    <row r="18" spans="2:20" s="40" customFormat="1" ht="14" thickBot="1" x14ac:dyDescent="0.25">
      <c r="B18" s="99"/>
      <c r="C18" s="43" t="s">
        <v>31</v>
      </c>
      <c r="D18" s="44">
        <v>0</v>
      </c>
      <c r="E18" s="44">
        <f t="shared" ref="E18:H18" si="2">+$D$16/$H$15</f>
        <v>28125</v>
      </c>
      <c r="F18" s="44">
        <f t="shared" si="2"/>
        <v>28125</v>
      </c>
      <c r="G18" s="44">
        <f t="shared" si="2"/>
        <v>28125</v>
      </c>
      <c r="H18" s="44">
        <f t="shared" si="2"/>
        <v>28125</v>
      </c>
      <c r="I18" s="103"/>
      <c r="J18" s="103"/>
      <c r="K18" s="104"/>
      <c r="M18" s="99"/>
      <c r="N18" s="100"/>
    </row>
    <row r="19" spans="2:20" s="40" customFormat="1" ht="14" thickBot="1" x14ac:dyDescent="0.25">
      <c r="B19" s="99"/>
      <c r="C19" s="43" t="s">
        <v>32</v>
      </c>
      <c r="D19" s="44">
        <f t="shared" ref="D19:H19" si="3">+D17+D18</f>
        <v>0</v>
      </c>
      <c r="E19" s="44">
        <f t="shared" si="3"/>
        <v>34031.25</v>
      </c>
      <c r="F19" s="44">
        <f t="shared" si="3"/>
        <v>32554.6875</v>
      </c>
      <c r="G19" s="44">
        <f t="shared" si="3"/>
        <v>31078.125</v>
      </c>
      <c r="H19" s="44">
        <f t="shared" si="3"/>
        <v>29601.5625</v>
      </c>
      <c r="I19" s="103"/>
      <c r="J19" s="103"/>
      <c r="K19" s="104"/>
      <c r="M19" s="65"/>
      <c r="N19" s="152"/>
      <c r="P19" s="1" t="s">
        <v>33</v>
      </c>
      <c r="S19" s="60" t="s">
        <v>34</v>
      </c>
      <c r="T19" s="71">
        <f>1.5/(1+1.5)</f>
        <v>0.6</v>
      </c>
    </row>
    <row r="20" spans="2:20" s="40" customFormat="1" ht="14" thickBot="1" x14ac:dyDescent="0.25">
      <c r="B20" s="99"/>
      <c r="C20" s="43" t="s">
        <v>35</v>
      </c>
      <c r="D20" s="44">
        <f>+D16-D18</f>
        <v>112500</v>
      </c>
      <c r="E20" s="44">
        <f t="shared" ref="E20:H20" si="4">+D20+E16-E18</f>
        <v>84375</v>
      </c>
      <c r="F20" s="44">
        <f t="shared" si="4"/>
        <v>56250</v>
      </c>
      <c r="G20" s="44">
        <f t="shared" si="4"/>
        <v>28125</v>
      </c>
      <c r="H20" s="44">
        <f t="shared" si="4"/>
        <v>0</v>
      </c>
      <c r="I20" s="103"/>
      <c r="J20" s="103"/>
      <c r="K20" s="104"/>
      <c r="M20" s="105" t="s">
        <v>79</v>
      </c>
      <c r="N20" s="111">
        <f>+N11*(1+N10)</f>
        <v>7.8374999999999995</v>
      </c>
      <c r="P20" s="1" t="s">
        <v>76</v>
      </c>
      <c r="S20" s="5" t="s">
        <v>36</v>
      </c>
      <c r="T20" s="64">
        <f>1-T19</f>
        <v>0.4</v>
      </c>
    </row>
    <row r="21" spans="2:20" s="40" customFormat="1" ht="14" thickBot="1" x14ac:dyDescent="0.25">
      <c r="B21" s="99"/>
      <c r="C21" s="43" t="s">
        <v>25</v>
      </c>
      <c r="D21" s="44">
        <f>+D13*D16</f>
        <v>5625</v>
      </c>
      <c r="E21" s="44">
        <v>0</v>
      </c>
      <c r="F21" s="44">
        <v>0</v>
      </c>
      <c r="G21" s="44">
        <v>0</v>
      </c>
      <c r="H21" s="44">
        <v>0</v>
      </c>
      <c r="I21" s="103"/>
      <c r="J21" s="103"/>
      <c r="K21" s="104"/>
      <c r="M21" s="105" t="s">
        <v>78</v>
      </c>
      <c r="N21" s="111">
        <f>+N12*N9</f>
        <v>1</v>
      </c>
    </row>
    <row r="22" spans="2:20" s="40" customFormat="1" x14ac:dyDescent="0.2">
      <c r="B22" s="99"/>
      <c r="C22" s="43" t="s">
        <v>37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103"/>
      <c r="J22" s="103"/>
      <c r="K22" s="104"/>
      <c r="M22" s="105" t="s">
        <v>38</v>
      </c>
      <c r="N22" s="111">
        <f>+N9-N21*(1-N13)</f>
        <v>49.33</v>
      </c>
      <c r="O22" s="125"/>
      <c r="P22" s="13" t="s">
        <v>11</v>
      </c>
      <c r="Q22" s="15" t="s">
        <v>12</v>
      </c>
      <c r="R22" s="15" t="s">
        <v>13</v>
      </c>
      <c r="S22" s="17" t="s">
        <v>14</v>
      </c>
      <c r="T22" s="19" t="s">
        <v>15</v>
      </c>
    </row>
    <row r="23" spans="2:20" s="40" customFormat="1" ht="14" thickBot="1" x14ac:dyDescent="0.25">
      <c r="B23" s="99"/>
      <c r="C23" s="43" t="s">
        <v>39</v>
      </c>
      <c r="D23" s="44">
        <v>0</v>
      </c>
      <c r="E23" s="44">
        <v>0</v>
      </c>
      <c r="F23" s="44">
        <v>0</v>
      </c>
      <c r="G23" s="44">
        <v>0</v>
      </c>
      <c r="H23" s="44">
        <v>0</v>
      </c>
      <c r="I23" s="103"/>
      <c r="J23" s="103"/>
      <c r="K23" s="104"/>
      <c r="M23" s="99"/>
      <c r="N23" s="100"/>
      <c r="P23" s="14"/>
      <c r="Q23" s="16"/>
      <c r="R23" s="16"/>
      <c r="S23" s="18"/>
      <c r="T23" s="20"/>
    </row>
    <row r="24" spans="2:20" s="40" customFormat="1" ht="14" thickBot="1" x14ac:dyDescent="0.25">
      <c r="B24" s="99"/>
      <c r="C24" s="126" t="s">
        <v>40</v>
      </c>
      <c r="D24" s="127">
        <f t="shared" ref="D24:H24" si="5">+D16-D19-D21-D22-D23</f>
        <v>106875</v>
      </c>
      <c r="E24" s="127">
        <f t="shared" si="5"/>
        <v>-34031.25</v>
      </c>
      <c r="F24" s="127">
        <f t="shared" si="5"/>
        <v>-32554.6875</v>
      </c>
      <c r="G24" s="127">
        <f t="shared" si="5"/>
        <v>-31078.125</v>
      </c>
      <c r="H24" s="127">
        <f t="shared" si="5"/>
        <v>-29601.5625</v>
      </c>
      <c r="I24" s="103"/>
      <c r="J24" s="103"/>
      <c r="K24" s="104"/>
      <c r="M24" s="129" t="s">
        <v>41</v>
      </c>
      <c r="N24" s="130">
        <f>+N20/N22+N10</f>
        <v>0.2038789783093452</v>
      </c>
      <c r="P24" s="65" t="s">
        <v>22</v>
      </c>
      <c r="Q24" s="66">
        <v>93555.142264225418</v>
      </c>
      <c r="R24" s="66">
        <f>+Q24*(1-D13)</f>
        <v>88877.385151014139</v>
      </c>
      <c r="S24" s="67">
        <f t="shared" ref="S24:S25" si="6">+Q24/$Q$26</f>
        <v>0.60000023086808985</v>
      </c>
      <c r="T24" s="68">
        <f>+I30</f>
        <v>2.5265567994599447E-2</v>
      </c>
    </row>
    <row r="25" spans="2:20" s="40" customFormat="1" ht="14" thickBot="1" x14ac:dyDescent="0.25">
      <c r="B25" s="99"/>
      <c r="C25" s="43" t="s">
        <v>42</v>
      </c>
      <c r="D25" s="44"/>
      <c r="E25" s="44"/>
      <c r="F25" s="44">
        <f>+SUM(D21,E17:F17)*D11</f>
        <v>5267.109375</v>
      </c>
      <c r="G25" s="44"/>
      <c r="H25" s="44">
        <f>+SUM(G17:H17)*D11</f>
        <v>1461.796875</v>
      </c>
      <c r="I25" s="103"/>
      <c r="J25" s="103"/>
      <c r="K25" s="104"/>
      <c r="M25" s="129" t="s">
        <v>43</v>
      </c>
      <c r="N25" s="130">
        <f>+(1+N24)^(0.25)-1</f>
        <v>4.7479923342187869E-2</v>
      </c>
      <c r="P25" s="65" t="s">
        <v>24</v>
      </c>
      <c r="Q25" s="66">
        <v>62370.034845903938</v>
      </c>
      <c r="R25" s="66">
        <f>+Q25*(1-N12)</f>
        <v>61122.634148985861</v>
      </c>
      <c r="S25" s="67">
        <f t="shared" si="6"/>
        <v>0.3999997691319101</v>
      </c>
      <c r="T25" s="68">
        <f>+N25</f>
        <v>4.7479923342187869E-2</v>
      </c>
    </row>
    <row r="26" spans="2:20" s="40" customFormat="1" ht="14" thickBot="1" x14ac:dyDescent="0.25">
      <c r="B26" s="99"/>
      <c r="C26" s="126" t="s">
        <v>44</v>
      </c>
      <c r="D26" s="127">
        <f t="shared" ref="D26:H26" si="7">+D24+D25</f>
        <v>106875</v>
      </c>
      <c r="E26" s="127">
        <f t="shared" si="7"/>
        <v>-34031.25</v>
      </c>
      <c r="F26" s="127">
        <f t="shared" si="7"/>
        <v>-27287.578125</v>
      </c>
      <c r="G26" s="127">
        <f t="shared" si="7"/>
        <v>-31078.125</v>
      </c>
      <c r="H26" s="127">
        <f t="shared" si="7"/>
        <v>-28139.765625</v>
      </c>
      <c r="I26" s="103"/>
      <c r="J26" s="103"/>
      <c r="K26" s="104"/>
      <c r="M26" s="131"/>
      <c r="N26" s="132"/>
      <c r="P26" s="60" t="s">
        <v>26</v>
      </c>
      <c r="Q26" s="73">
        <f>+SUM(Q24:Q25)</f>
        <v>155925.17711012936</v>
      </c>
      <c r="R26" s="73">
        <f>+SUM(R24:R25)</f>
        <v>150000.01929999999</v>
      </c>
      <c r="S26" s="121">
        <f>+SUM(S24:S25)</f>
        <v>1</v>
      </c>
      <c r="T26" s="75"/>
    </row>
    <row r="27" spans="2:20" s="40" customFormat="1" ht="14" thickBot="1" x14ac:dyDescent="0.25">
      <c r="B27" s="99"/>
      <c r="C27" s="133"/>
      <c r="D27" s="103"/>
      <c r="E27" s="103"/>
      <c r="F27" s="103"/>
      <c r="G27" s="103"/>
      <c r="H27" s="103"/>
      <c r="I27" s="103"/>
      <c r="J27" s="103"/>
      <c r="K27" s="104"/>
      <c r="Q27" s="69"/>
    </row>
    <row r="28" spans="2:20" s="40" customFormat="1" ht="14" thickBot="1" x14ac:dyDescent="0.25">
      <c r="B28" s="99"/>
      <c r="C28" s="103"/>
      <c r="D28" s="134" t="s">
        <v>45</v>
      </c>
      <c r="E28" s="135">
        <f>+IRR(D24:H24)</f>
        <v>7.557689932860745E-2</v>
      </c>
      <c r="F28" s="40" t="s">
        <v>18</v>
      </c>
      <c r="G28" s="103"/>
      <c r="H28" s="134" t="s">
        <v>46</v>
      </c>
      <c r="I28" s="136">
        <f>+IRR(D26:H26)</f>
        <v>5.1169484915288832E-2</v>
      </c>
      <c r="J28" s="40" t="s">
        <v>18</v>
      </c>
      <c r="K28" s="104"/>
      <c r="Q28" s="69"/>
      <c r="R28" s="122" t="s">
        <v>27</v>
      </c>
      <c r="S28" s="71">
        <f>+S24*T24+S25*T25</f>
        <v>3.4151305005049024E-2</v>
      </c>
      <c r="T28" s="40" t="s">
        <v>28</v>
      </c>
    </row>
    <row r="29" spans="2:20" s="40" customFormat="1" ht="6" customHeight="1" thickBot="1" x14ac:dyDescent="0.25">
      <c r="B29" s="99"/>
      <c r="C29" s="103"/>
      <c r="D29" s="103"/>
      <c r="E29" s="103"/>
      <c r="F29" s="103"/>
      <c r="G29" s="103"/>
      <c r="H29" s="103"/>
      <c r="I29" s="138"/>
      <c r="K29" s="104"/>
      <c r="R29" s="103"/>
      <c r="S29" s="67"/>
    </row>
    <row r="30" spans="2:20" s="40" customFormat="1" ht="14" thickBot="1" x14ac:dyDescent="0.25">
      <c r="B30" s="99"/>
      <c r="C30" s="103"/>
      <c r="D30" s="134" t="s">
        <v>45</v>
      </c>
      <c r="E30" s="135">
        <f>+(1+E28)^(0.5)-1</f>
        <v>3.710023591194278E-2</v>
      </c>
      <c r="F30" s="103" t="s">
        <v>28</v>
      </c>
      <c r="G30" s="103"/>
      <c r="H30" s="134" t="s">
        <v>46</v>
      </c>
      <c r="I30" s="135">
        <f>+(1+I28) ^(0.5)-1</f>
        <v>2.5265567994599447E-2</v>
      </c>
      <c r="J30" s="40" t="s">
        <v>28</v>
      </c>
      <c r="K30" s="104"/>
      <c r="R30" s="103"/>
      <c r="S30" s="67"/>
    </row>
    <row r="31" spans="2:20" s="40" customFormat="1" ht="14" thickBot="1" x14ac:dyDescent="0.25">
      <c r="B31" s="131"/>
      <c r="C31" s="139"/>
      <c r="D31" s="139"/>
      <c r="E31" s="139"/>
      <c r="F31" s="139"/>
      <c r="G31" s="139"/>
      <c r="H31" s="139"/>
      <c r="I31" s="139"/>
      <c r="J31" s="139"/>
      <c r="K31" s="132"/>
      <c r="R31" s="69"/>
    </row>
    <row r="38" spans="19:21" s="40" customFormat="1" x14ac:dyDescent="0.2">
      <c r="S38" s="41"/>
      <c r="T38" s="137"/>
    </row>
    <row r="39" spans="19:21" s="40" customFormat="1" x14ac:dyDescent="0.2">
      <c r="S39" s="41"/>
      <c r="T39" s="137"/>
    </row>
    <row r="40" spans="19:21" s="40" customFormat="1" x14ac:dyDescent="0.2">
      <c r="S40" s="69"/>
      <c r="U40" s="140"/>
    </row>
  </sheetData>
  <mergeCells count="21">
    <mergeCell ref="P22:P23"/>
    <mergeCell ref="Q22:Q23"/>
    <mergeCell ref="R22:R23"/>
    <mergeCell ref="S22:S23"/>
    <mergeCell ref="T22:T23"/>
    <mergeCell ref="B2:K2"/>
    <mergeCell ref="P3:R3"/>
    <mergeCell ref="P4:R4"/>
    <mergeCell ref="M3:N4"/>
    <mergeCell ref="P17:T17"/>
    <mergeCell ref="P9:P10"/>
    <mergeCell ref="Q9:Q10"/>
    <mergeCell ref="R9:R10"/>
    <mergeCell ref="S9:S10"/>
    <mergeCell ref="T9:T10"/>
    <mergeCell ref="M6:N6"/>
    <mergeCell ref="P6:T6"/>
    <mergeCell ref="B6:K6"/>
    <mergeCell ref="M7:N7"/>
    <mergeCell ref="P7:T7"/>
    <mergeCell ref="B7:K7"/>
  </mergeCells>
  <pageMargins left="0.7" right="0.7" top="0.75" bottom="0.75" header="0.3" footer="0.3"/>
  <pageSetup orientation="portrait" r:id="rId1"/>
  <ignoredErrors>
    <ignoredError sqref="R13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8431E-259C-46A6-B9E0-CD1D9E8667CC}">
  <sheetPr>
    <tabColor theme="7" tint="-0.249977111117893"/>
  </sheetPr>
  <dimension ref="B1:U40"/>
  <sheetViews>
    <sheetView showGridLines="0" zoomScale="120" zoomScaleNormal="120" workbookViewId="0">
      <selection activeCell="I10" sqref="I10"/>
    </sheetView>
  </sheetViews>
  <sheetFormatPr baseColWidth="10" defaultColWidth="11.5" defaultRowHeight="13" x14ac:dyDescent="0.2"/>
  <cols>
    <col min="1" max="1" width="2.6640625" style="40" customWidth="1"/>
    <col min="2" max="11" width="16.83203125" style="40" customWidth="1"/>
    <col min="12" max="12" width="3.6640625" style="40" customWidth="1"/>
    <col min="13" max="13" width="28.1640625" style="40" customWidth="1"/>
    <col min="14" max="14" width="8.1640625" style="40" bestFit="1" customWidth="1"/>
    <col min="15" max="15" width="3.6640625" style="40" customWidth="1"/>
    <col min="16" max="16" width="23.83203125" style="40" bestFit="1" customWidth="1"/>
    <col min="17" max="17" width="15.83203125" style="40" bestFit="1" customWidth="1"/>
    <col min="18" max="18" width="15" style="40" bestFit="1" customWidth="1"/>
    <col min="19" max="19" width="8.83203125" style="40" customWidth="1"/>
    <col min="20" max="20" width="7.5" style="40" customWidth="1"/>
    <col min="21" max="16384" width="11.5" style="40"/>
  </cols>
  <sheetData>
    <row r="1" spans="2:20" ht="10" customHeight="1" x14ac:dyDescent="0.2"/>
    <row r="2" spans="2:20" x14ac:dyDescent="0.2">
      <c r="B2" s="78" t="s">
        <v>0</v>
      </c>
      <c r="C2" s="78"/>
      <c r="D2" s="78"/>
      <c r="E2" s="78"/>
      <c r="F2" s="78"/>
      <c r="G2" s="78"/>
      <c r="H2" s="78"/>
      <c r="I2" s="78"/>
      <c r="J2" s="78"/>
      <c r="K2" s="78"/>
    </row>
    <row r="3" spans="2:20" ht="16.5" customHeight="1" x14ac:dyDescent="0.2">
      <c r="B3" s="42" t="s">
        <v>1</v>
      </c>
      <c r="C3" s="42">
        <v>0</v>
      </c>
      <c r="D3" s="42">
        <v>1</v>
      </c>
      <c r="E3" s="42">
        <v>2</v>
      </c>
      <c r="F3" s="42">
        <v>3</v>
      </c>
      <c r="G3" s="42">
        <v>4</v>
      </c>
      <c r="H3" s="42">
        <v>5</v>
      </c>
      <c r="I3" s="42">
        <v>6</v>
      </c>
      <c r="J3" s="42">
        <v>7</v>
      </c>
      <c r="K3" s="42">
        <v>8</v>
      </c>
      <c r="M3" s="25" t="s">
        <v>2</v>
      </c>
      <c r="N3" s="26"/>
      <c r="O3" s="1"/>
      <c r="P3" s="37" t="s">
        <v>74</v>
      </c>
      <c r="Q3" s="37"/>
      <c r="R3" s="37"/>
      <c r="S3" s="38">
        <f>+NPV(S15,D4:K4)+C4</f>
        <v>94130.016921182309</v>
      </c>
      <c r="T3" s="1"/>
    </row>
    <row r="4" spans="2:20" ht="16.5" customHeight="1" x14ac:dyDescent="0.2">
      <c r="B4" s="43" t="s">
        <v>3</v>
      </c>
      <c r="C4" s="44">
        <v>-150000</v>
      </c>
      <c r="D4" s="44">
        <v>35000</v>
      </c>
      <c r="E4" s="44">
        <v>35000</v>
      </c>
      <c r="F4" s="44">
        <v>35000</v>
      </c>
      <c r="G4" s="44">
        <v>35000</v>
      </c>
      <c r="H4" s="44">
        <v>35000</v>
      </c>
      <c r="I4" s="44">
        <v>35000</v>
      </c>
      <c r="J4" s="44">
        <v>35000</v>
      </c>
      <c r="K4" s="44">
        <v>35000</v>
      </c>
      <c r="M4" s="27"/>
      <c r="N4" s="28"/>
      <c r="O4" s="1"/>
      <c r="P4" s="37"/>
      <c r="Q4" s="37"/>
      <c r="R4" s="37"/>
      <c r="S4" s="38"/>
      <c r="T4" s="1"/>
    </row>
    <row r="5" spans="2:20" ht="14" thickBot="1" x14ac:dyDescent="0.25">
      <c r="C5" s="79"/>
    </row>
    <row r="6" spans="2:20" ht="17.5" customHeight="1" thickBot="1" x14ac:dyDescent="0.25">
      <c r="B6" s="80" t="s">
        <v>4</v>
      </c>
      <c r="C6" s="81"/>
      <c r="D6" s="81"/>
      <c r="E6" s="81"/>
      <c r="F6" s="81"/>
      <c r="G6" s="81"/>
      <c r="H6" s="81"/>
      <c r="I6" s="81"/>
      <c r="J6" s="81"/>
      <c r="K6" s="82"/>
      <c r="M6" s="83" t="s">
        <v>5</v>
      </c>
      <c r="N6" s="84"/>
      <c r="P6" s="85" t="s">
        <v>6</v>
      </c>
      <c r="Q6" s="86"/>
      <c r="R6" s="86"/>
      <c r="S6" s="86"/>
      <c r="T6" s="87"/>
    </row>
    <row r="7" spans="2:20" ht="16.5" customHeight="1" thickBot="1" x14ac:dyDescent="0.25">
      <c r="B7" s="88" t="s">
        <v>7</v>
      </c>
      <c r="C7" s="89"/>
      <c r="D7" s="89"/>
      <c r="E7" s="89"/>
      <c r="F7" s="89"/>
      <c r="G7" s="89"/>
      <c r="H7" s="89"/>
      <c r="I7" s="89"/>
      <c r="J7" s="89"/>
      <c r="K7" s="90"/>
      <c r="M7" s="91" t="s">
        <v>8</v>
      </c>
      <c r="N7" s="92"/>
      <c r="P7" s="141" t="s">
        <v>75</v>
      </c>
      <c r="Q7" s="142"/>
      <c r="R7" s="142"/>
      <c r="S7" s="142"/>
      <c r="T7" s="143"/>
    </row>
    <row r="8" spans="2:20" ht="10" customHeight="1" thickBot="1" x14ac:dyDescent="0.25">
      <c r="B8" s="96"/>
      <c r="C8" s="97"/>
      <c r="D8" s="97"/>
      <c r="E8" s="97"/>
      <c r="F8" s="97"/>
      <c r="G8" s="97"/>
      <c r="H8" s="97"/>
      <c r="I8" s="97"/>
      <c r="J8" s="97"/>
      <c r="K8" s="98"/>
      <c r="M8" s="99"/>
      <c r="N8" s="100"/>
    </row>
    <row r="9" spans="2:20" ht="14" thickBot="1" x14ac:dyDescent="0.25">
      <c r="B9" s="99"/>
      <c r="C9" s="101" t="s">
        <v>9</v>
      </c>
      <c r="D9" s="102">
        <v>112500</v>
      </c>
      <c r="E9" s="103"/>
      <c r="F9" s="103"/>
      <c r="G9" s="103"/>
      <c r="H9" s="103"/>
      <c r="I9" s="103"/>
      <c r="J9" s="103"/>
      <c r="K9" s="104"/>
      <c r="M9" s="105" t="s">
        <v>10</v>
      </c>
      <c r="N9" s="106">
        <v>50</v>
      </c>
      <c r="P9" s="29" t="s">
        <v>11</v>
      </c>
      <c r="Q9" s="31" t="s">
        <v>12</v>
      </c>
      <c r="R9" s="31" t="s">
        <v>13</v>
      </c>
      <c r="S9" s="33" t="s">
        <v>14</v>
      </c>
      <c r="T9" s="35" t="s">
        <v>15</v>
      </c>
    </row>
    <row r="10" spans="2:20" ht="14" thickBot="1" x14ac:dyDescent="0.25">
      <c r="B10" s="99"/>
      <c r="C10" s="101" t="s">
        <v>16</v>
      </c>
      <c r="D10" s="107">
        <v>0.105</v>
      </c>
      <c r="E10" s="103" t="s">
        <v>17</v>
      </c>
      <c r="F10" s="108">
        <f>+D10/2</f>
        <v>5.2499999999999998E-2</v>
      </c>
      <c r="G10" s="103" t="s">
        <v>18</v>
      </c>
      <c r="H10" s="103"/>
      <c r="I10" s="103"/>
      <c r="J10" s="103"/>
      <c r="K10" s="104"/>
      <c r="M10" s="105" t="s">
        <v>19</v>
      </c>
      <c r="N10" s="109">
        <v>4.4999999999999998E-2</v>
      </c>
      <c r="P10" s="30"/>
      <c r="Q10" s="32"/>
      <c r="R10" s="32"/>
      <c r="S10" s="34"/>
      <c r="T10" s="36"/>
    </row>
    <row r="11" spans="2:20" x14ac:dyDescent="0.2">
      <c r="B11" s="99"/>
      <c r="C11" s="101" t="s">
        <v>20</v>
      </c>
      <c r="D11" s="110">
        <v>0.33</v>
      </c>
      <c r="E11" s="103"/>
      <c r="F11" s="103"/>
      <c r="G11" s="103"/>
      <c r="H11" s="103"/>
      <c r="I11" s="103"/>
      <c r="J11" s="103"/>
      <c r="K11" s="104"/>
      <c r="M11" s="105" t="s">
        <v>21</v>
      </c>
      <c r="N11" s="111">
        <v>7.5</v>
      </c>
      <c r="P11" s="65" t="s">
        <v>22</v>
      </c>
      <c r="Q11" s="66">
        <v>112500</v>
      </c>
      <c r="R11" s="66">
        <f>+Q11-H13</f>
        <v>106875</v>
      </c>
      <c r="S11" s="144">
        <f t="shared" ref="S11:S12" si="0">+Q11/$Q$13</f>
        <v>0.71882639921582581</v>
      </c>
      <c r="T11" s="68">
        <f>+I30</f>
        <v>2.5265567994599447E-2</v>
      </c>
    </row>
    <row r="12" spans="2:20" ht="14" thickBot="1" x14ac:dyDescent="0.25">
      <c r="B12" s="99"/>
      <c r="C12" s="101" t="s">
        <v>23</v>
      </c>
      <c r="D12" s="103">
        <v>2</v>
      </c>
      <c r="E12" s="103" t="s">
        <v>73</v>
      </c>
      <c r="F12" s="103"/>
      <c r="G12" s="103"/>
      <c r="H12" s="103"/>
      <c r="I12" s="103"/>
      <c r="J12" s="103"/>
      <c r="K12" s="104"/>
      <c r="M12" s="105" t="s">
        <v>77</v>
      </c>
      <c r="N12" s="112">
        <v>0.02</v>
      </c>
      <c r="P12" s="65" t="s">
        <v>24</v>
      </c>
      <c r="Q12" s="66">
        <v>44005.103489141817</v>
      </c>
      <c r="R12" s="66">
        <f>+Q12*(1-N12)</f>
        <v>43125.001419358981</v>
      </c>
      <c r="S12" s="144">
        <f t="shared" si="0"/>
        <v>0.28117360078417408</v>
      </c>
      <c r="T12" s="68">
        <f>+N25</f>
        <v>4.7479923342187869E-2</v>
      </c>
    </row>
    <row r="13" spans="2:20" ht="14" thickBot="1" x14ac:dyDescent="0.25">
      <c r="B13" s="99"/>
      <c r="C13" s="101" t="s">
        <v>25</v>
      </c>
      <c r="D13" s="113">
        <v>0.05</v>
      </c>
      <c r="E13" s="114" t="s">
        <v>70</v>
      </c>
      <c r="F13" s="103"/>
      <c r="G13" s="103"/>
      <c r="H13" s="115">
        <v>5625</v>
      </c>
      <c r="I13" s="116" t="s">
        <v>69</v>
      </c>
      <c r="J13" s="117"/>
      <c r="K13" s="104"/>
      <c r="M13" s="105" t="s">
        <v>80</v>
      </c>
      <c r="N13" s="112">
        <f>D11</f>
        <v>0.33</v>
      </c>
      <c r="P13" s="145" t="s">
        <v>26</v>
      </c>
      <c r="Q13" s="146">
        <f>+SUM(Q11:Q12)</f>
        <v>156505.10348914182</v>
      </c>
      <c r="R13" s="146">
        <f>+SUM(R11:R12)</f>
        <v>150000.00141935897</v>
      </c>
      <c r="S13" s="147">
        <f>+SUM(S11:S12)</f>
        <v>0.99999999999999989</v>
      </c>
      <c r="T13" s="148"/>
    </row>
    <row r="14" spans="2:20" ht="14" thickBot="1" x14ac:dyDescent="0.25">
      <c r="B14" s="99"/>
      <c r="C14" s="103"/>
      <c r="D14" s="103"/>
      <c r="E14" s="103"/>
      <c r="F14" s="103"/>
      <c r="G14" s="103"/>
      <c r="H14" s="103"/>
      <c r="I14" s="103"/>
      <c r="J14" s="103"/>
      <c r="K14" s="104"/>
      <c r="M14" s="65"/>
      <c r="N14" s="118"/>
      <c r="Q14" s="69"/>
    </row>
    <row r="15" spans="2:20" ht="14" thickBot="1" x14ac:dyDescent="0.25">
      <c r="B15" s="99"/>
      <c r="C15" s="119" t="s">
        <v>1</v>
      </c>
      <c r="D15" s="119">
        <v>0</v>
      </c>
      <c r="E15" s="119">
        <v>1</v>
      </c>
      <c r="F15" s="119">
        <v>2</v>
      </c>
      <c r="G15" s="119">
        <v>3</v>
      </c>
      <c r="H15" s="119">
        <v>4</v>
      </c>
      <c r="I15" s="72"/>
      <c r="J15" s="72"/>
      <c r="K15" s="104"/>
      <c r="M15" s="65"/>
      <c r="N15" s="118"/>
      <c r="R15" s="149" t="s">
        <v>27</v>
      </c>
      <c r="S15" s="71">
        <f>+S11*T11+S12*T12</f>
        <v>3.1511658276780055E-2</v>
      </c>
      <c r="T15" s="40" t="s">
        <v>28</v>
      </c>
    </row>
    <row r="16" spans="2:20" x14ac:dyDescent="0.2">
      <c r="B16" s="99"/>
      <c r="C16" s="43" t="s">
        <v>29</v>
      </c>
      <c r="D16" s="44">
        <f>+Q11</f>
        <v>112500</v>
      </c>
      <c r="E16" s="44">
        <v>0</v>
      </c>
      <c r="F16" s="44">
        <v>0</v>
      </c>
      <c r="G16" s="44">
        <v>0</v>
      </c>
      <c r="H16" s="44">
        <v>0</v>
      </c>
      <c r="I16" s="120"/>
      <c r="J16" s="120"/>
      <c r="K16" s="104"/>
      <c r="M16" s="65"/>
      <c r="N16" s="118"/>
    </row>
    <row r="17" spans="2:20" x14ac:dyDescent="0.2">
      <c r="B17" s="99"/>
      <c r="C17" s="43" t="s">
        <v>30</v>
      </c>
      <c r="D17" s="44">
        <v>0</v>
      </c>
      <c r="E17" s="44">
        <f t="shared" ref="E17:H17" si="1">+D20*$F$10</f>
        <v>5906.25</v>
      </c>
      <c r="F17" s="44">
        <f t="shared" si="1"/>
        <v>4429.6875</v>
      </c>
      <c r="G17" s="44">
        <f t="shared" si="1"/>
        <v>2953.125</v>
      </c>
      <c r="H17" s="44">
        <f t="shared" si="1"/>
        <v>1476.5625</v>
      </c>
      <c r="I17" s="120"/>
      <c r="J17" s="120"/>
      <c r="K17" s="104"/>
      <c r="M17" s="65"/>
      <c r="N17" s="118"/>
      <c r="R17" s="103"/>
      <c r="S17" s="67"/>
    </row>
    <row r="18" spans="2:20" x14ac:dyDescent="0.2">
      <c r="B18" s="99"/>
      <c r="C18" s="43" t="s">
        <v>31</v>
      </c>
      <c r="D18" s="44">
        <v>0</v>
      </c>
      <c r="E18" s="44">
        <f t="shared" ref="E18:H18" si="2">+$D$16/$H$15</f>
        <v>28125</v>
      </c>
      <c r="F18" s="44">
        <f t="shared" si="2"/>
        <v>28125</v>
      </c>
      <c r="G18" s="44">
        <f t="shared" si="2"/>
        <v>28125</v>
      </c>
      <c r="H18" s="44">
        <f t="shared" si="2"/>
        <v>28125</v>
      </c>
      <c r="I18" s="120"/>
      <c r="J18" s="120"/>
      <c r="K18" s="104"/>
      <c r="M18" s="65"/>
      <c r="N18" s="118"/>
    </row>
    <row r="19" spans="2:20" x14ac:dyDescent="0.2">
      <c r="B19" s="99"/>
      <c r="C19" s="43" t="s">
        <v>32</v>
      </c>
      <c r="D19" s="44">
        <f t="shared" ref="D19:H19" si="3">+D17+D18</f>
        <v>0</v>
      </c>
      <c r="E19" s="44">
        <f t="shared" si="3"/>
        <v>34031.25</v>
      </c>
      <c r="F19" s="44">
        <f t="shared" si="3"/>
        <v>32554.6875</v>
      </c>
      <c r="G19" s="44">
        <f t="shared" si="3"/>
        <v>31078.125</v>
      </c>
      <c r="H19" s="44">
        <f t="shared" si="3"/>
        <v>29601.5625</v>
      </c>
      <c r="I19" s="120"/>
      <c r="J19" s="120"/>
      <c r="K19" s="104"/>
      <c r="M19" s="65"/>
      <c r="N19" s="111"/>
    </row>
    <row r="20" spans="2:20" x14ac:dyDescent="0.2">
      <c r="B20" s="99"/>
      <c r="C20" s="43" t="s">
        <v>35</v>
      </c>
      <c r="D20" s="44">
        <f>+D16-D18</f>
        <v>112500</v>
      </c>
      <c r="E20" s="44">
        <f t="shared" ref="E20:H20" si="4">+D20+E16-E18</f>
        <v>84375</v>
      </c>
      <c r="F20" s="44">
        <f t="shared" si="4"/>
        <v>56250</v>
      </c>
      <c r="G20" s="44">
        <f t="shared" si="4"/>
        <v>28125</v>
      </c>
      <c r="H20" s="44">
        <f t="shared" si="4"/>
        <v>0</v>
      </c>
      <c r="I20" s="120"/>
      <c r="J20" s="120"/>
      <c r="K20" s="104"/>
      <c r="M20" s="105" t="s">
        <v>79</v>
      </c>
      <c r="N20" s="111">
        <f>+N11*(1+N10)</f>
        <v>7.8374999999999995</v>
      </c>
    </row>
    <row r="21" spans="2:20" x14ac:dyDescent="0.2">
      <c r="B21" s="99"/>
      <c r="C21" s="43" t="s">
        <v>25</v>
      </c>
      <c r="D21" s="123">
        <f>+H13</f>
        <v>5625</v>
      </c>
      <c r="E21" s="44">
        <v>0</v>
      </c>
      <c r="F21" s="44">
        <v>0</v>
      </c>
      <c r="G21" s="44">
        <v>0</v>
      </c>
      <c r="H21" s="44">
        <v>0</v>
      </c>
      <c r="I21" s="120"/>
      <c r="J21" s="120"/>
      <c r="K21" s="104"/>
      <c r="M21" s="105" t="s">
        <v>78</v>
      </c>
      <c r="N21" s="111">
        <f>+N12*N9</f>
        <v>1</v>
      </c>
    </row>
    <row r="22" spans="2:20" x14ac:dyDescent="0.2">
      <c r="B22" s="99"/>
      <c r="C22" s="43" t="s">
        <v>37</v>
      </c>
      <c r="D22" s="124"/>
      <c r="E22" s="124"/>
      <c r="F22" s="124"/>
      <c r="G22" s="124"/>
      <c r="H22" s="124"/>
      <c r="I22" s="120"/>
      <c r="J22" s="120"/>
      <c r="K22" s="104"/>
      <c r="M22" s="105" t="s">
        <v>38</v>
      </c>
      <c r="N22" s="111">
        <f>+N9-N21*(1-N13)</f>
        <v>49.33</v>
      </c>
      <c r="O22" s="125"/>
    </row>
    <row r="23" spans="2:20" ht="14" thickBot="1" x14ac:dyDescent="0.25">
      <c r="B23" s="99"/>
      <c r="C23" s="43" t="s">
        <v>39</v>
      </c>
      <c r="D23" s="124"/>
      <c r="E23" s="124"/>
      <c r="F23" s="124"/>
      <c r="G23" s="124"/>
      <c r="H23" s="124"/>
      <c r="I23" s="120"/>
      <c r="J23" s="120"/>
      <c r="K23" s="104"/>
      <c r="M23" s="99"/>
      <c r="N23" s="100"/>
    </row>
    <row r="24" spans="2:20" ht="14" thickBot="1" x14ac:dyDescent="0.25">
      <c r="B24" s="99"/>
      <c r="C24" s="126" t="s">
        <v>40</v>
      </c>
      <c r="D24" s="127">
        <f t="shared" ref="D24:H24" si="5">+D16-D19-D21-D22-D23</f>
        <v>106875</v>
      </c>
      <c r="E24" s="127">
        <f t="shared" si="5"/>
        <v>-34031.25</v>
      </c>
      <c r="F24" s="127">
        <f t="shared" si="5"/>
        <v>-32554.6875</v>
      </c>
      <c r="G24" s="127">
        <f t="shared" si="5"/>
        <v>-31078.125</v>
      </c>
      <c r="H24" s="127">
        <f t="shared" si="5"/>
        <v>-29601.5625</v>
      </c>
      <c r="I24" s="128"/>
      <c r="J24" s="128"/>
      <c r="K24" s="104"/>
      <c r="M24" s="129" t="s">
        <v>41</v>
      </c>
      <c r="N24" s="130">
        <f>+N20/N22+N10</f>
        <v>0.2038789783093452</v>
      </c>
    </row>
    <row r="25" spans="2:20" ht="14" thickBot="1" x14ac:dyDescent="0.25">
      <c r="B25" s="99"/>
      <c r="C25" s="43" t="s">
        <v>42</v>
      </c>
      <c r="D25" s="44"/>
      <c r="E25" s="44"/>
      <c r="F25" s="44">
        <f>+SUM(D21,E17:F17)*D11</f>
        <v>5267.109375</v>
      </c>
      <c r="G25" s="44"/>
      <c r="H25" s="44">
        <f>+SUM(G17:H17)*D11</f>
        <v>1461.796875</v>
      </c>
      <c r="I25" s="120"/>
      <c r="J25" s="120"/>
      <c r="K25" s="104"/>
      <c r="M25" s="129" t="s">
        <v>43</v>
      </c>
      <c r="N25" s="130">
        <f>+(1+N24)^(0.25)-1</f>
        <v>4.7479923342187869E-2</v>
      </c>
      <c r="S25" s="41"/>
      <c r="T25" s="137"/>
    </row>
    <row r="26" spans="2:20" ht="14" thickBot="1" x14ac:dyDescent="0.25">
      <c r="B26" s="99"/>
      <c r="C26" s="126" t="s">
        <v>44</v>
      </c>
      <c r="D26" s="127">
        <f t="shared" ref="D26:H26" si="6">+D24+D25</f>
        <v>106875</v>
      </c>
      <c r="E26" s="127">
        <f t="shared" si="6"/>
        <v>-34031.25</v>
      </c>
      <c r="F26" s="127">
        <f t="shared" si="6"/>
        <v>-27287.578125</v>
      </c>
      <c r="G26" s="127">
        <f t="shared" si="6"/>
        <v>-31078.125</v>
      </c>
      <c r="H26" s="127">
        <f t="shared" si="6"/>
        <v>-28139.765625</v>
      </c>
      <c r="I26" s="128"/>
      <c r="J26" s="128"/>
      <c r="K26" s="104"/>
      <c r="M26" s="131"/>
      <c r="N26" s="132"/>
      <c r="S26" s="41"/>
      <c r="T26" s="137"/>
    </row>
    <row r="27" spans="2:20" ht="14" thickBot="1" x14ac:dyDescent="0.25">
      <c r="B27" s="99"/>
      <c r="C27" s="133"/>
      <c r="D27" s="103"/>
      <c r="E27" s="103"/>
      <c r="F27" s="103"/>
      <c r="G27" s="103"/>
      <c r="H27" s="103"/>
      <c r="I27" s="103"/>
      <c r="J27" s="103"/>
      <c r="K27" s="104"/>
      <c r="S27" s="69"/>
    </row>
    <row r="28" spans="2:20" ht="14" thickBot="1" x14ac:dyDescent="0.25">
      <c r="B28" s="99"/>
      <c r="C28" s="103"/>
      <c r="D28" s="134" t="s">
        <v>45</v>
      </c>
      <c r="E28" s="135">
        <f>+IRR(D24:H24)</f>
        <v>7.557689932860745E-2</v>
      </c>
      <c r="F28" s="40" t="s">
        <v>18</v>
      </c>
      <c r="H28" s="134" t="s">
        <v>46</v>
      </c>
      <c r="I28" s="136">
        <f>+IRR(D26:H26)</f>
        <v>5.1169484915288832E-2</v>
      </c>
      <c r="J28" s="40" t="s">
        <v>18</v>
      </c>
      <c r="K28" s="104"/>
      <c r="R28" s="41"/>
      <c r="S28" s="137"/>
    </row>
    <row r="29" spans="2:20" ht="6" customHeight="1" thickBot="1" x14ac:dyDescent="0.25">
      <c r="B29" s="99"/>
      <c r="C29" s="103"/>
      <c r="D29" s="103"/>
      <c r="E29" s="103"/>
      <c r="F29" s="103"/>
      <c r="G29" s="103"/>
      <c r="H29" s="103"/>
      <c r="I29" s="138"/>
      <c r="K29" s="104"/>
      <c r="R29" s="69"/>
      <c r="T29" s="140"/>
    </row>
    <row r="30" spans="2:20" ht="14" thickBot="1" x14ac:dyDescent="0.25">
      <c r="B30" s="99"/>
      <c r="C30" s="103"/>
      <c r="D30" s="134" t="s">
        <v>45</v>
      </c>
      <c r="E30" s="135">
        <f>+(1+E28)^(0.5)-1</f>
        <v>3.710023591194278E-2</v>
      </c>
      <c r="F30" s="103" t="s">
        <v>28</v>
      </c>
      <c r="H30" s="134" t="s">
        <v>46</v>
      </c>
      <c r="I30" s="135">
        <f>+(1+I28) ^(0.5)-1</f>
        <v>2.5265567994599447E-2</v>
      </c>
      <c r="J30" s="40" t="s">
        <v>28</v>
      </c>
      <c r="K30" s="104"/>
    </row>
    <row r="31" spans="2:20" ht="14" thickBot="1" x14ac:dyDescent="0.25">
      <c r="B31" s="131"/>
      <c r="C31" s="139"/>
      <c r="D31" s="139"/>
      <c r="E31" s="139"/>
      <c r="F31" s="139"/>
      <c r="G31" s="139"/>
      <c r="H31" s="139"/>
      <c r="I31" s="139"/>
      <c r="J31" s="139"/>
      <c r="K31" s="132"/>
    </row>
    <row r="40" spans="21:21" x14ac:dyDescent="0.2">
      <c r="U40" s="140"/>
    </row>
  </sheetData>
  <mergeCells count="15">
    <mergeCell ref="B7:K7"/>
    <mergeCell ref="M7:N7"/>
    <mergeCell ref="P7:T7"/>
    <mergeCell ref="P9:P10"/>
    <mergeCell ref="Q9:Q10"/>
    <mergeCell ref="R9:R10"/>
    <mergeCell ref="S9:S10"/>
    <mergeCell ref="T9:T10"/>
    <mergeCell ref="B2:K2"/>
    <mergeCell ref="M3:N4"/>
    <mergeCell ref="B6:K6"/>
    <mergeCell ref="M6:N6"/>
    <mergeCell ref="P6:T6"/>
    <mergeCell ref="P3:R4"/>
    <mergeCell ref="S3:S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93BE9-5086-4E11-83D2-5D56CF4AA3FF}">
  <sheetPr>
    <tabColor theme="7" tint="-0.249977111117893"/>
  </sheetPr>
  <dimension ref="B1:U40"/>
  <sheetViews>
    <sheetView showGridLines="0" zoomScale="120" zoomScaleNormal="120" workbookViewId="0">
      <selection activeCell="M14" sqref="M14"/>
    </sheetView>
  </sheetViews>
  <sheetFormatPr baseColWidth="10" defaultColWidth="11.5" defaultRowHeight="13" x14ac:dyDescent="0.2"/>
  <cols>
    <col min="1" max="1" width="2.6640625" style="40" customWidth="1"/>
    <col min="2" max="11" width="16.83203125" style="40" customWidth="1"/>
    <col min="12" max="12" width="3.6640625" style="40" customWidth="1"/>
    <col min="13" max="13" width="28.1640625" style="40" customWidth="1"/>
    <col min="14" max="14" width="8.1640625" style="40" bestFit="1" customWidth="1"/>
    <col min="15" max="15" width="3.6640625" style="40" customWidth="1"/>
    <col min="16" max="16" width="23.83203125" style="40" bestFit="1" customWidth="1"/>
    <col min="17" max="17" width="15.83203125" style="40" bestFit="1" customWidth="1"/>
    <col min="18" max="18" width="15" style="40" bestFit="1" customWidth="1"/>
    <col min="19" max="19" width="8.83203125" style="40" customWidth="1"/>
    <col min="20" max="20" width="7.5" style="40" customWidth="1"/>
    <col min="21" max="16384" width="11.5" style="40"/>
  </cols>
  <sheetData>
    <row r="1" spans="2:20" ht="10" customHeight="1" x14ac:dyDescent="0.2"/>
    <row r="2" spans="2:20" x14ac:dyDescent="0.2">
      <c r="B2" s="78" t="s">
        <v>0</v>
      </c>
      <c r="C2" s="78"/>
      <c r="D2" s="78"/>
      <c r="E2" s="78"/>
      <c r="F2" s="78"/>
      <c r="G2" s="78"/>
      <c r="H2" s="78"/>
      <c r="I2" s="78"/>
      <c r="J2" s="78"/>
      <c r="K2" s="78"/>
    </row>
    <row r="3" spans="2:20" ht="16.5" customHeight="1" x14ac:dyDescent="0.2">
      <c r="B3" s="42" t="s">
        <v>1</v>
      </c>
      <c r="C3" s="42">
        <v>0</v>
      </c>
      <c r="D3" s="42">
        <v>1</v>
      </c>
      <c r="E3" s="42">
        <v>2</v>
      </c>
      <c r="F3" s="42">
        <v>3</v>
      </c>
      <c r="G3" s="42">
        <v>4</v>
      </c>
      <c r="H3" s="42">
        <v>5</v>
      </c>
      <c r="I3" s="42">
        <v>6</v>
      </c>
      <c r="J3" s="42">
        <v>7</v>
      </c>
      <c r="K3" s="42">
        <v>8</v>
      </c>
      <c r="M3" s="25" t="s">
        <v>2</v>
      </c>
      <c r="N3" s="26"/>
      <c r="O3" s="1"/>
      <c r="P3" s="37" t="s">
        <v>71</v>
      </c>
      <c r="Q3" s="37"/>
      <c r="R3" s="37"/>
      <c r="S3" s="38">
        <f>+NPV(S18,D4:K4)+C4</f>
        <v>90497.92823985577</v>
      </c>
      <c r="T3" s="1"/>
    </row>
    <row r="4" spans="2:20" ht="16.5" customHeight="1" x14ac:dyDescent="0.2">
      <c r="B4" s="43" t="s">
        <v>3</v>
      </c>
      <c r="C4" s="44">
        <v>-150000</v>
      </c>
      <c r="D4" s="44">
        <v>35000</v>
      </c>
      <c r="E4" s="44">
        <v>35000</v>
      </c>
      <c r="F4" s="44">
        <v>35000</v>
      </c>
      <c r="G4" s="44">
        <v>35000</v>
      </c>
      <c r="H4" s="44">
        <v>35000</v>
      </c>
      <c r="I4" s="44">
        <v>35000</v>
      </c>
      <c r="J4" s="44">
        <v>35000</v>
      </c>
      <c r="K4" s="44">
        <v>35000</v>
      </c>
      <c r="M4" s="27"/>
      <c r="N4" s="28"/>
      <c r="O4" s="1"/>
      <c r="P4" s="37"/>
      <c r="Q4" s="37"/>
      <c r="R4" s="37"/>
      <c r="S4" s="38"/>
    </row>
    <row r="5" spans="2:20" ht="14" thickBot="1" x14ac:dyDescent="0.25">
      <c r="C5" s="79"/>
    </row>
    <row r="6" spans="2:20" ht="17.5" customHeight="1" thickBot="1" x14ac:dyDescent="0.25">
      <c r="B6" s="80" t="s">
        <v>4</v>
      </c>
      <c r="C6" s="81"/>
      <c r="D6" s="81"/>
      <c r="E6" s="81"/>
      <c r="F6" s="81"/>
      <c r="G6" s="81"/>
      <c r="H6" s="81"/>
      <c r="I6" s="81"/>
      <c r="J6" s="81"/>
      <c r="K6" s="82"/>
      <c r="M6" s="83" t="s">
        <v>5</v>
      </c>
      <c r="N6" s="84"/>
      <c r="P6" s="85" t="s">
        <v>6</v>
      </c>
      <c r="Q6" s="86"/>
      <c r="R6" s="86"/>
      <c r="S6" s="86"/>
      <c r="T6" s="87"/>
    </row>
    <row r="7" spans="2:20" ht="16.5" customHeight="1" thickBot="1" x14ac:dyDescent="0.25">
      <c r="B7" s="88" t="s">
        <v>7</v>
      </c>
      <c r="C7" s="89"/>
      <c r="D7" s="89"/>
      <c r="E7" s="89"/>
      <c r="F7" s="89"/>
      <c r="G7" s="89"/>
      <c r="H7" s="89"/>
      <c r="I7" s="89"/>
      <c r="J7" s="89"/>
      <c r="K7" s="90"/>
      <c r="M7" s="91" t="s">
        <v>8</v>
      </c>
      <c r="N7" s="92"/>
      <c r="P7" s="93" t="s">
        <v>72</v>
      </c>
      <c r="Q7" s="94"/>
      <c r="R7" s="94"/>
      <c r="S7" s="94"/>
      <c r="T7" s="95"/>
    </row>
    <row r="8" spans="2:20" ht="10" customHeight="1" thickBot="1" x14ac:dyDescent="0.25">
      <c r="B8" s="96"/>
      <c r="C8" s="97"/>
      <c r="D8" s="97"/>
      <c r="E8" s="97"/>
      <c r="F8" s="97"/>
      <c r="G8" s="97"/>
      <c r="H8" s="97"/>
      <c r="I8" s="97"/>
      <c r="J8" s="97"/>
      <c r="K8" s="98"/>
      <c r="M8" s="99"/>
      <c r="N8" s="100"/>
    </row>
    <row r="9" spans="2:20" ht="14" thickBot="1" x14ac:dyDescent="0.25">
      <c r="B9" s="99"/>
      <c r="C9" s="101" t="s">
        <v>9</v>
      </c>
      <c r="D9" s="102">
        <v>112500</v>
      </c>
      <c r="E9" s="103"/>
      <c r="F9" s="103"/>
      <c r="G9" s="103"/>
      <c r="H9" s="103"/>
      <c r="I9" s="103"/>
      <c r="J9" s="103"/>
      <c r="K9" s="104"/>
      <c r="M9" s="105" t="s">
        <v>10</v>
      </c>
      <c r="N9" s="106">
        <v>50</v>
      </c>
      <c r="P9" s="1" t="s">
        <v>33</v>
      </c>
      <c r="S9" s="60" t="s">
        <v>34</v>
      </c>
      <c r="T9" s="71">
        <f>1.5/(1+1.5)</f>
        <v>0.6</v>
      </c>
    </row>
    <row r="10" spans="2:20" ht="14" thickBot="1" x14ac:dyDescent="0.25">
      <c r="B10" s="99"/>
      <c r="C10" s="101" t="s">
        <v>16</v>
      </c>
      <c r="D10" s="107">
        <v>0.105</v>
      </c>
      <c r="E10" s="103" t="s">
        <v>17</v>
      </c>
      <c r="F10" s="108">
        <f>+D10/2</f>
        <v>5.2499999999999998E-2</v>
      </c>
      <c r="G10" s="103" t="s">
        <v>18</v>
      </c>
      <c r="H10" s="103"/>
      <c r="I10" s="103"/>
      <c r="J10" s="103"/>
      <c r="K10" s="104"/>
      <c r="M10" s="105" t="s">
        <v>19</v>
      </c>
      <c r="N10" s="109">
        <v>4.4999999999999998E-2</v>
      </c>
      <c r="P10" s="1" t="s">
        <v>76</v>
      </c>
      <c r="S10" s="5" t="s">
        <v>36</v>
      </c>
      <c r="T10" s="64">
        <f>1-T9</f>
        <v>0.4</v>
      </c>
    </row>
    <row r="11" spans="2:20" ht="14" thickBot="1" x14ac:dyDescent="0.25">
      <c r="B11" s="99"/>
      <c r="C11" s="101" t="s">
        <v>20</v>
      </c>
      <c r="D11" s="110">
        <v>0.33</v>
      </c>
      <c r="E11" s="103"/>
      <c r="F11" s="103"/>
      <c r="G11" s="103"/>
      <c r="H11" s="103"/>
      <c r="I11" s="103"/>
      <c r="J11" s="103"/>
      <c r="K11" s="104"/>
      <c r="M11" s="105" t="s">
        <v>21</v>
      </c>
      <c r="N11" s="111">
        <v>7.5</v>
      </c>
    </row>
    <row r="12" spans="2:20" x14ac:dyDescent="0.2">
      <c r="B12" s="99"/>
      <c r="C12" s="101" t="s">
        <v>23</v>
      </c>
      <c r="D12" s="103">
        <v>2</v>
      </c>
      <c r="E12" s="103" t="s">
        <v>73</v>
      </c>
      <c r="F12" s="103"/>
      <c r="G12" s="103"/>
      <c r="H12" s="103"/>
      <c r="I12" s="103"/>
      <c r="J12" s="103"/>
      <c r="K12" s="104"/>
      <c r="M12" s="105" t="s">
        <v>77</v>
      </c>
      <c r="N12" s="112">
        <v>0.02</v>
      </c>
      <c r="P12" s="13" t="s">
        <v>11</v>
      </c>
      <c r="Q12" s="15" t="s">
        <v>12</v>
      </c>
      <c r="R12" s="15" t="s">
        <v>13</v>
      </c>
      <c r="S12" s="17" t="s">
        <v>14</v>
      </c>
      <c r="T12" s="19" t="s">
        <v>15</v>
      </c>
    </row>
    <row r="13" spans="2:20" ht="14" thickBot="1" x14ac:dyDescent="0.25">
      <c r="B13" s="99"/>
      <c r="C13" s="101" t="s">
        <v>25</v>
      </c>
      <c r="D13" s="113">
        <v>0.05</v>
      </c>
      <c r="E13" s="114" t="s">
        <v>70</v>
      </c>
      <c r="F13" s="103"/>
      <c r="G13" s="103"/>
      <c r="H13" s="115">
        <v>5625</v>
      </c>
      <c r="I13" s="116" t="s">
        <v>69</v>
      </c>
      <c r="J13" s="117"/>
      <c r="K13" s="104"/>
      <c r="M13" s="105" t="s">
        <v>80</v>
      </c>
      <c r="N13" s="112">
        <f>D11</f>
        <v>0.33</v>
      </c>
      <c r="P13" s="14"/>
      <c r="Q13" s="16"/>
      <c r="R13" s="16"/>
      <c r="S13" s="18"/>
      <c r="T13" s="20"/>
    </row>
    <row r="14" spans="2:20" x14ac:dyDescent="0.2">
      <c r="B14" s="99"/>
      <c r="C14" s="103"/>
      <c r="D14" s="103"/>
      <c r="E14" s="103"/>
      <c r="F14" s="103"/>
      <c r="G14" s="103"/>
      <c r="H14" s="103"/>
      <c r="I14" s="103"/>
      <c r="J14" s="103"/>
      <c r="K14" s="104"/>
      <c r="M14" s="65"/>
      <c r="N14" s="118"/>
      <c r="P14" s="65" t="s">
        <v>22</v>
      </c>
      <c r="Q14" s="66">
        <v>94128.108900000007</v>
      </c>
      <c r="R14" s="66">
        <f>+Q14-H13</f>
        <v>88503.108900000007</v>
      </c>
      <c r="S14" s="67">
        <f>+Q14/$Q$16</f>
        <v>0.60000049107581543</v>
      </c>
      <c r="T14" s="68">
        <f>+I30</f>
        <v>2.683035282858115E-2</v>
      </c>
    </row>
    <row r="15" spans="2:20" ht="14" thickBot="1" x14ac:dyDescent="0.25">
      <c r="B15" s="99"/>
      <c r="C15" s="119" t="s">
        <v>1</v>
      </c>
      <c r="D15" s="119">
        <v>0</v>
      </c>
      <c r="E15" s="119">
        <v>1</v>
      </c>
      <c r="F15" s="119">
        <v>2</v>
      </c>
      <c r="G15" s="119">
        <v>3</v>
      </c>
      <c r="H15" s="119">
        <v>4</v>
      </c>
      <c r="I15" s="72"/>
      <c r="J15" s="72"/>
      <c r="K15" s="104"/>
      <c r="M15" s="65"/>
      <c r="N15" s="118"/>
      <c r="P15" s="65" t="s">
        <v>24</v>
      </c>
      <c r="Q15" s="66">
        <v>62751.944199999998</v>
      </c>
      <c r="R15" s="66">
        <f>+Q15*(1-N12)</f>
        <v>61496.905315999997</v>
      </c>
      <c r="S15" s="67">
        <f t="shared" ref="S15" si="0">+Q15/$Q$16</f>
        <v>0.39999950892418451</v>
      </c>
      <c r="T15" s="68">
        <f>+N25</f>
        <v>4.7479923342187869E-2</v>
      </c>
    </row>
    <row r="16" spans="2:20" ht="14" thickBot="1" x14ac:dyDescent="0.25">
      <c r="B16" s="99"/>
      <c r="C16" s="43" t="s">
        <v>29</v>
      </c>
      <c r="D16" s="44">
        <f>+Q14</f>
        <v>94128.108900000007</v>
      </c>
      <c r="E16" s="44">
        <v>0</v>
      </c>
      <c r="F16" s="44">
        <v>0</v>
      </c>
      <c r="G16" s="44">
        <v>0</v>
      </c>
      <c r="H16" s="44">
        <v>0</v>
      </c>
      <c r="I16" s="120"/>
      <c r="J16" s="120"/>
      <c r="K16" s="104"/>
      <c r="M16" s="65"/>
      <c r="N16" s="118"/>
      <c r="P16" s="60" t="s">
        <v>26</v>
      </c>
      <c r="Q16" s="73">
        <f>+SUM(Q14:Q15)</f>
        <v>156880.05310000002</v>
      </c>
      <c r="R16" s="73">
        <f>+SUM(R14:R15)</f>
        <v>150000.01421600001</v>
      </c>
      <c r="S16" s="121">
        <f>+SUM(S14:S15)</f>
        <v>1</v>
      </c>
      <c r="T16" s="75"/>
    </row>
    <row r="17" spans="2:20" ht="14" thickBot="1" x14ac:dyDescent="0.25">
      <c r="B17" s="99"/>
      <c r="C17" s="43" t="s">
        <v>30</v>
      </c>
      <c r="D17" s="44">
        <v>0</v>
      </c>
      <c r="E17" s="44">
        <f t="shared" ref="E17:H17" si="1">+D20*$F$10</f>
        <v>4941.7257172500003</v>
      </c>
      <c r="F17" s="44">
        <f t="shared" si="1"/>
        <v>3706.2942879375005</v>
      </c>
      <c r="G17" s="44">
        <f t="shared" si="1"/>
        <v>2470.8628586250006</v>
      </c>
      <c r="H17" s="44">
        <f t="shared" si="1"/>
        <v>1235.4314293125003</v>
      </c>
      <c r="I17" s="120"/>
      <c r="J17" s="120"/>
      <c r="K17" s="104"/>
      <c r="M17" s="65"/>
      <c r="N17" s="118"/>
    </row>
    <row r="18" spans="2:20" ht="14" thickBot="1" x14ac:dyDescent="0.25">
      <c r="B18" s="99"/>
      <c r="C18" s="43" t="s">
        <v>31</v>
      </c>
      <c r="D18" s="44">
        <v>0</v>
      </c>
      <c r="E18" s="44">
        <f t="shared" ref="E18:H18" si="2">+$D$16/$H$15</f>
        <v>23532.027225000002</v>
      </c>
      <c r="F18" s="44">
        <f t="shared" si="2"/>
        <v>23532.027225000002</v>
      </c>
      <c r="G18" s="44">
        <f t="shared" si="2"/>
        <v>23532.027225000002</v>
      </c>
      <c r="H18" s="44">
        <f t="shared" si="2"/>
        <v>23532.027225000002</v>
      </c>
      <c r="I18" s="120"/>
      <c r="J18" s="120"/>
      <c r="K18" s="104"/>
      <c r="M18" s="65"/>
      <c r="N18" s="118"/>
      <c r="R18" s="122" t="s">
        <v>27</v>
      </c>
      <c r="S18" s="71">
        <f>+S14*T14+S15*T15</f>
        <v>3.5090170893519158E-2</v>
      </c>
      <c r="T18" s="40" t="s">
        <v>28</v>
      </c>
    </row>
    <row r="19" spans="2:20" x14ac:dyDescent="0.2">
      <c r="B19" s="99"/>
      <c r="C19" s="43" t="s">
        <v>32</v>
      </c>
      <c r="D19" s="44">
        <f t="shared" ref="D19:H19" si="3">+D17+D18</f>
        <v>0</v>
      </c>
      <c r="E19" s="44">
        <f t="shared" si="3"/>
        <v>28473.752942250001</v>
      </c>
      <c r="F19" s="44">
        <f t="shared" si="3"/>
        <v>27238.321512937502</v>
      </c>
      <c r="G19" s="44">
        <f t="shared" si="3"/>
        <v>26002.890083625003</v>
      </c>
      <c r="H19" s="44">
        <f t="shared" si="3"/>
        <v>24767.458654312501</v>
      </c>
      <c r="I19" s="120"/>
      <c r="J19" s="120"/>
      <c r="K19" s="104"/>
      <c r="M19" s="65"/>
      <c r="N19" s="111"/>
      <c r="R19" s="103"/>
      <c r="S19" s="67"/>
    </row>
    <row r="20" spans="2:20" x14ac:dyDescent="0.2">
      <c r="B20" s="99"/>
      <c r="C20" s="43" t="s">
        <v>35</v>
      </c>
      <c r="D20" s="44">
        <f>+D16-D18</f>
        <v>94128.108900000007</v>
      </c>
      <c r="E20" s="44">
        <f t="shared" ref="E20:H20" si="4">+D20+E16-E18</f>
        <v>70596.081675000009</v>
      </c>
      <c r="F20" s="44">
        <f t="shared" si="4"/>
        <v>47064.054450000011</v>
      </c>
      <c r="G20" s="44">
        <f t="shared" si="4"/>
        <v>23532.027225000009</v>
      </c>
      <c r="H20" s="44">
        <f t="shared" si="4"/>
        <v>0</v>
      </c>
      <c r="I20" s="120"/>
      <c r="J20" s="120"/>
      <c r="K20" s="104"/>
      <c r="M20" s="105" t="s">
        <v>79</v>
      </c>
      <c r="N20" s="111">
        <f>+N11*(1+N10)</f>
        <v>7.8374999999999995</v>
      </c>
      <c r="R20" s="103"/>
      <c r="S20" s="67"/>
    </row>
    <row r="21" spans="2:20" x14ac:dyDescent="0.2">
      <c r="B21" s="99"/>
      <c r="C21" s="43" t="s">
        <v>25</v>
      </c>
      <c r="D21" s="123">
        <f>+H13</f>
        <v>5625</v>
      </c>
      <c r="E21" s="44">
        <v>0</v>
      </c>
      <c r="F21" s="44">
        <v>0</v>
      </c>
      <c r="G21" s="44">
        <v>0</v>
      </c>
      <c r="H21" s="44">
        <v>0</v>
      </c>
      <c r="I21" s="120"/>
      <c r="J21" s="120"/>
      <c r="K21" s="104"/>
      <c r="M21" s="105" t="s">
        <v>78</v>
      </c>
      <c r="N21" s="111">
        <f>+N12*N9</f>
        <v>1</v>
      </c>
    </row>
    <row r="22" spans="2:20" x14ac:dyDescent="0.2">
      <c r="B22" s="99"/>
      <c r="C22" s="43" t="s">
        <v>37</v>
      </c>
      <c r="D22" s="124"/>
      <c r="E22" s="124"/>
      <c r="F22" s="124"/>
      <c r="G22" s="124"/>
      <c r="H22" s="124"/>
      <c r="I22" s="120"/>
      <c r="J22" s="120"/>
      <c r="K22" s="104"/>
      <c r="M22" s="105" t="s">
        <v>38</v>
      </c>
      <c r="N22" s="111">
        <f>+N9-N21*(1-N13)</f>
        <v>49.33</v>
      </c>
      <c r="O22" s="125"/>
    </row>
    <row r="23" spans="2:20" ht="14" thickBot="1" x14ac:dyDescent="0.25">
      <c r="B23" s="99"/>
      <c r="C23" s="43" t="s">
        <v>39</v>
      </c>
      <c r="D23" s="124"/>
      <c r="E23" s="124"/>
      <c r="F23" s="124"/>
      <c r="G23" s="124"/>
      <c r="H23" s="124"/>
      <c r="I23" s="120"/>
      <c r="J23" s="120"/>
      <c r="K23" s="104"/>
      <c r="M23" s="99"/>
      <c r="N23" s="100"/>
    </row>
    <row r="24" spans="2:20" ht="14" thickBot="1" x14ac:dyDescent="0.25">
      <c r="B24" s="99"/>
      <c r="C24" s="126" t="s">
        <v>40</v>
      </c>
      <c r="D24" s="127">
        <f t="shared" ref="D24:H24" si="5">+D16-D19-D21-D22-D23</f>
        <v>88503.108900000007</v>
      </c>
      <c r="E24" s="127">
        <f t="shared" si="5"/>
        <v>-28473.752942250001</v>
      </c>
      <c r="F24" s="127">
        <f t="shared" si="5"/>
        <v>-27238.321512937502</v>
      </c>
      <c r="G24" s="127">
        <f t="shared" si="5"/>
        <v>-26002.890083625003</v>
      </c>
      <c r="H24" s="127">
        <f t="shared" si="5"/>
        <v>-24767.458654312501</v>
      </c>
      <c r="I24" s="128"/>
      <c r="J24" s="128"/>
      <c r="K24" s="104"/>
      <c r="M24" s="129" t="s">
        <v>41</v>
      </c>
      <c r="N24" s="130">
        <f>+N20/N22+N10</f>
        <v>0.2038789783093452</v>
      </c>
    </row>
    <row r="25" spans="2:20" ht="14" thickBot="1" x14ac:dyDescent="0.25">
      <c r="B25" s="99"/>
      <c r="C25" s="43" t="s">
        <v>42</v>
      </c>
      <c r="D25" s="44"/>
      <c r="E25" s="44"/>
      <c r="F25" s="44">
        <f>+SUM(D21,E17:F17)*D11</f>
        <v>4710.0966017118753</v>
      </c>
      <c r="G25" s="44"/>
      <c r="H25" s="44">
        <f>+SUM(G17:H17)*D11</f>
        <v>1223.0771150193755</v>
      </c>
      <c r="I25" s="120"/>
      <c r="J25" s="120"/>
      <c r="K25" s="104"/>
      <c r="M25" s="129" t="s">
        <v>43</v>
      </c>
      <c r="N25" s="130">
        <f>+(1+N24)^(0.25)-1</f>
        <v>4.7479923342187869E-2</v>
      </c>
    </row>
    <row r="26" spans="2:20" ht="14" thickBot="1" x14ac:dyDescent="0.25">
      <c r="B26" s="99"/>
      <c r="C26" s="126" t="s">
        <v>44</v>
      </c>
      <c r="D26" s="127">
        <f t="shared" ref="D26:H26" si="6">+D24+D25</f>
        <v>88503.108900000007</v>
      </c>
      <c r="E26" s="127">
        <f t="shared" si="6"/>
        <v>-28473.752942250001</v>
      </c>
      <c r="F26" s="127">
        <f t="shared" si="6"/>
        <v>-22528.224911225625</v>
      </c>
      <c r="G26" s="127">
        <f t="shared" si="6"/>
        <v>-26002.890083625003</v>
      </c>
      <c r="H26" s="127">
        <f t="shared" si="6"/>
        <v>-23544.381539293125</v>
      </c>
      <c r="I26" s="128"/>
      <c r="J26" s="128"/>
      <c r="K26" s="104"/>
      <c r="M26" s="131"/>
      <c r="N26" s="132"/>
    </row>
    <row r="27" spans="2:20" ht="14" thickBot="1" x14ac:dyDescent="0.25">
      <c r="B27" s="99"/>
      <c r="C27" s="133"/>
      <c r="D27" s="103"/>
      <c r="E27" s="103"/>
      <c r="F27" s="103"/>
      <c r="G27" s="103"/>
      <c r="H27" s="103"/>
      <c r="I27" s="103"/>
      <c r="J27" s="103"/>
      <c r="K27" s="104"/>
    </row>
    <row r="28" spans="2:20" ht="14" thickBot="1" x14ac:dyDescent="0.25">
      <c r="B28" s="99"/>
      <c r="C28" s="103"/>
      <c r="D28" s="134" t="s">
        <v>45</v>
      </c>
      <c r="E28" s="135">
        <f>+IRR(D24:H24)</f>
        <v>8.0315640991821979E-2</v>
      </c>
      <c r="F28" s="40" t="s">
        <v>18</v>
      </c>
      <c r="H28" s="134" t="s">
        <v>46</v>
      </c>
      <c r="I28" s="136">
        <f>+IRR(D26:H26)</f>
        <v>5.4380573490068418E-2</v>
      </c>
      <c r="J28" s="40" t="s">
        <v>18</v>
      </c>
      <c r="K28" s="104"/>
      <c r="S28" s="41"/>
      <c r="T28" s="137"/>
    </row>
    <row r="29" spans="2:20" ht="6" customHeight="1" thickBot="1" x14ac:dyDescent="0.25">
      <c r="B29" s="99"/>
      <c r="C29" s="103"/>
      <c r="D29" s="103"/>
      <c r="E29" s="103"/>
      <c r="F29" s="103"/>
      <c r="G29" s="103"/>
      <c r="H29" s="103"/>
      <c r="I29" s="138"/>
      <c r="K29" s="104"/>
      <c r="S29" s="41"/>
      <c r="T29" s="137"/>
    </row>
    <row r="30" spans="2:20" ht="14" thickBot="1" x14ac:dyDescent="0.25">
      <c r="B30" s="99"/>
      <c r="C30" s="103"/>
      <c r="D30" s="134" t="s">
        <v>45</v>
      </c>
      <c r="E30" s="135">
        <f>+(1+E28)^(0.5)-1</f>
        <v>3.9382336290078479E-2</v>
      </c>
      <c r="F30" s="103" t="s">
        <v>28</v>
      </c>
      <c r="H30" s="134" t="s">
        <v>46</v>
      </c>
      <c r="I30" s="135">
        <f>+(1+I28) ^(0.5)-1</f>
        <v>2.683035282858115E-2</v>
      </c>
      <c r="J30" s="40" t="s">
        <v>28</v>
      </c>
      <c r="K30" s="104"/>
      <c r="S30" s="69"/>
    </row>
    <row r="31" spans="2:20" ht="14" thickBot="1" x14ac:dyDescent="0.25">
      <c r="B31" s="131"/>
      <c r="C31" s="139"/>
      <c r="D31" s="139"/>
      <c r="E31" s="139"/>
      <c r="F31" s="139"/>
      <c r="G31" s="139"/>
      <c r="H31" s="139"/>
      <c r="I31" s="139"/>
      <c r="J31" s="139"/>
      <c r="K31" s="132"/>
      <c r="R31" s="41"/>
      <c r="S31" s="137"/>
    </row>
    <row r="32" spans="2:20" x14ac:dyDescent="0.2">
      <c r="R32" s="69"/>
      <c r="T32" s="140"/>
    </row>
    <row r="40" spans="21:21" x14ac:dyDescent="0.2">
      <c r="U40" s="140"/>
    </row>
  </sheetData>
  <mergeCells count="15">
    <mergeCell ref="P3:R4"/>
    <mergeCell ref="S3:S4"/>
    <mergeCell ref="B2:K2"/>
    <mergeCell ref="M3:N4"/>
    <mergeCell ref="B6:K6"/>
    <mergeCell ref="M6:N6"/>
    <mergeCell ref="P6:T6"/>
    <mergeCell ref="B7:K7"/>
    <mergeCell ref="M7:N7"/>
    <mergeCell ref="P7:T7"/>
    <mergeCell ref="P12:P13"/>
    <mergeCell ref="Q12:Q13"/>
    <mergeCell ref="R12:R13"/>
    <mergeCell ref="S12:S13"/>
    <mergeCell ref="T12:T1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F12C-1A04-4406-977D-E5AB4114CE51}">
  <sheetPr>
    <tabColor theme="9" tint="0.39997558519241921"/>
  </sheetPr>
  <dimension ref="B1:P23"/>
  <sheetViews>
    <sheetView zoomScale="140" zoomScaleNormal="140" workbookViewId="0">
      <selection activeCell="B14" sqref="B14"/>
    </sheetView>
  </sheetViews>
  <sheetFormatPr baseColWidth="10" defaultColWidth="11.5" defaultRowHeight="13" x14ac:dyDescent="0.2"/>
  <cols>
    <col min="1" max="1" width="2.6640625" style="40" customWidth="1"/>
    <col min="2" max="2" width="20.1640625" style="40" customWidth="1"/>
    <col min="3" max="5" width="11.6640625" style="40" customWidth="1"/>
    <col min="6" max="6" width="12.83203125" style="40" customWidth="1"/>
    <col min="7" max="9" width="11.6640625" style="40" customWidth="1"/>
    <col min="10" max="10" width="13.5" style="40" customWidth="1"/>
    <col min="11" max="11" width="10.33203125" style="40" customWidth="1"/>
    <col min="12" max="12" width="9.6640625" style="40" customWidth="1"/>
    <col min="13" max="13" width="10.5" style="40" bestFit="1" customWidth="1"/>
    <col min="14" max="14" width="10.83203125" style="40" bestFit="1" customWidth="1"/>
    <col min="15" max="16" width="9" style="40" customWidth="1"/>
    <col min="17" max="16384" width="11.5" style="40"/>
  </cols>
  <sheetData>
    <row r="1" spans="2:16" ht="8.5" customHeight="1" x14ac:dyDescent="0.2"/>
    <row r="2" spans="2:16" x14ac:dyDescent="0.2">
      <c r="B2" s="40" t="s">
        <v>64</v>
      </c>
      <c r="I2" s="41"/>
    </row>
    <row r="3" spans="2:16" ht="16.5" customHeight="1" x14ac:dyDescent="0.2">
      <c r="B3" s="42" t="s">
        <v>1</v>
      </c>
      <c r="C3" s="42">
        <v>0</v>
      </c>
      <c r="D3" s="42">
        <v>1</v>
      </c>
      <c r="E3" s="42">
        <v>2</v>
      </c>
      <c r="F3" s="42">
        <v>3</v>
      </c>
      <c r="G3" s="42">
        <v>4</v>
      </c>
      <c r="H3" s="42">
        <v>5</v>
      </c>
      <c r="I3" s="42">
        <v>6</v>
      </c>
      <c r="J3" s="42">
        <v>7</v>
      </c>
      <c r="K3" s="42">
        <v>8</v>
      </c>
      <c r="M3" s="1"/>
      <c r="P3" s="1"/>
    </row>
    <row r="4" spans="2:16" ht="16.5" customHeight="1" x14ac:dyDescent="0.2">
      <c r="B4" s="43" t="s">
        <v>47</v>
      </c>
      <c r="C4" s="44">
        <v>-150000</v>
      </c>
      <c r="D4" s="44">
        <v>35000</v>
      </c>
      <c r="E4" s="44">
        <v>35000</v>
      </c>
      <c r="F4" s="44">
        <v>35000</v>
      </c>
      <c r="G4" s="44">
        <v>35000</v>
      </c>
      <c r="H4" s="44">
        <v>35000</v>
      </c>
      <c r="I4" s="44">
        <v>35000</v>
      </c>
      <c r="J4" s="44">
        <v>35000</v>
      </c>
      <c r="K4" s="44">
        <v>35000</v>
      </c>
      <c r="M4" s="1"/>
      <c r="P4" s="1"/>
    </row>
    <row r="5" spans="2:16" ht="14" thickBot="1" x14ac:dyDescent="0.25"/>
    <row r="6" spans="2:16" ht="15" customHeight="1" thickBot="1" x14ac:dyDescent="0.25">
      <c r="B6" s="40" t="s">
        <v>48</v>
      </c>
      <c r="L6" s="6" t="s">
        <v>2</v>
      </c>
      <c r="M6" s="7"/>
    </row>
    <row r="7" spans="2:16" ht="28.5" customHeight="1" thickBot="1" x14ac:dyDescent="0.25">
      <c r="B7" s="10" t="s">
        <v>11</v>
      </c>
      <c r="C7" s="11"/>
      <c r="D7" s="2" t="s">
        <v>9</v>
      </c>
      <c r="E7" s="2" t="s">
        <v>49</v>
      </c>
      <c r="F7" s="11" t="s">
        <v>50</v>
      </c>
      <c r="G7" s="11"/>
      <c r="H7" s="11"/>
      <c r="I7" s="11"/>
      <c r="J7" s="12"/>
      <c r="L7" s="8"/>
      <c r="M7" s="9"/>
    </row>
    <row r="8" spans="2:16" ht="14" thickBot="1" x14ac:dyDescent="0.25">
      <c r="B8" s="45" t="s">
        <v>51</v>
      </c>
      <c r="C8" s="46"/>
      <c r="D8" s="47">
        <v>15000</v>
      </c>
      <c r="E8" s="48">
        <v>0.08</v>
      </c>
      <c r="F8" s="49" t="s">
        <v>52</v>
      </c>
      <c r="G8" s="49"/>
      <c r="H8" s="49"/>
      <c r="I8" s="49"/>
      <c r="J8" s="50"/>
    </row>
    <row r="9" spans="2:16" ht="14" thickBot="1" x14ac:dyDescent="0.25">
      <c r="B9" s="45" t="s">
        <v>53</v>
      </c>
      <c r="C9" s="46"/>
      <c r="D9" s="47">
        <v>30000</v>
      </c>
      <c r="E9" s="48">
        <v>0.1</v>
      </c>
      <c r="F9" s="49" t="s">
        <v>52</v>
      </c>
      <c r="G9" s="49"/>
      <c r="H9" s="49"/>
      <c r="I9" s="49"/>
      <c r="J9" s="50"/>
      <c r="L9" s="3" t="s">
        <v>54</v>
      </c>
      <c r="M9" s="76">
        <f>+NPV(I20,D4:K4)+C4</f>
        <v>96328.490942452336</v>
      </c>
    </row>
    <row r="10" spans="2:16" ht="14" thickBot="1" x14ac:dyDescent="0.25">
      <c r="B10" s="45" t="s">
        <v>55</v>
      </c>
      <c r="C10" s="46"/>
      <c r="D10" s="47">
        <v>50000</v>
      </c>
      <c r="E10" s="48">
        <v>0.11</v>
      </c>
      <c r="F10" s="49" t="s">
        <v>67</v>
      </c>
      <c r="G10" s="49"/>
      <c r="H10" s="49"/>
      <c r="I10" s="49"/>
      <c r="J10" s="50"/>
      <c r="L10" s="4" t="s">
        <v>56</v>
      </c>
      <c r="M10" s="77">
        <f>+IRR(C4:K4)</f>
        <v>0.16417921293874627</v>
      </c>
    </row>
    <row r="11" spans="2:16" x14ac:dyDescent="0.2">
      <c r="B11" s="45" t="s">
        <v>57</v>
      </c>
      <c r="C11" s="46"/>
      <c r="D11" s="47">
        <v>70000</v>
      </c>
      <c r="E11" s="48">
        <v>0.12</v>
      </c>
      <c r="F11" s="49" t="s">
        <v>68</v>
      </c>
      <c r="G11" s="49"/>
      <c r="H11" s="49"/>
      <c r="I11" s="49"/>
      <c r="J11" s="50"/>
    </row>
    <row r="12" spans="2:16" ht="14" x14ac:dyDescent="0.2">
      <c r="B12" s="45" t="s">
        <v>58</v>
      </c>
      <c r="C12" s="46"/>
      <c r="D12" s="51" t="s">
        <v>59</v>
      </c>
      <c r="E12" s="48">
        <v>0.15</v>
      </c>
      <c r="F12" s="49" t="s">
        <v>52</v>
      </c>
      <c r="G12" s="49"/>
      <c r="H12" s="49"/>
      <c r="I12" s="49"/>
      <c r="J12" s="50"/>
    </row>
    <row r="13" spans="2:16" ht="15" thickBot="1" x14ac:dyDescent="0.25">
      <c r="B13" s="52" t="s">
        <v>60</v>
      </c>
      <c r="C13" s="53"/>
      <c r="D13" s="54" t="s">
        <v>59</v>
      </c>
      <c r="E13" s="55">
        <v>0.16</v>
      </c>
      <c r="F13" s="56" t="s">
        <v>65</v>
      </c>
      <c r="G13" s="56"/>
      <c r="H13" s="56"/>
      <c r="I13" s="56"/>
      <c r="J13" s="57"/>
    </row>
    <row r="14" spans="2:16" x14ac:dyDescent="0.2">
      <c r="B14" s="58" t="s">
        <v>66</v>
      </c>
    </row>
    <row r="15" spans="2:16" ht="13.5" customHeight="1" thickBot="1" x14ac:dyDescent="0.25">
      <c r="I15" s="59" t="s">
        <v>61</v>
      </c>
      <c r="J15" s="59" t="s">
        <v>62</v>
      </c>
    </row>
    <row r="16" spans="2:16" ht="14" thickBot="1" x14ac:dyDescent="0.25">
      <c r="B16" s="13" t="s">
        <v>11</v>
      </c>
      <c r="C16" s="15" t="s">
        <v>12</v>
      </c>
      <c r="D16" s="15" t="s">
        <v>13</v>
      </c>
      <c r="E16" s="17" t="s">
        <v>14</v>
      </c>
      <c r="F16" s="19" t="s">
        <v>15</v>
      </c>
      <c r="H16" s="60" t="s">
        <v>34</v>
      </c>
      <c r="I16" s="61">
        <f>2/(1+2)</f>
        <v>0.66666666666666663</v>
      </c>
      <c r="J16" s="62">
        <f>+SUM(E18:E20)</f>
        <v>0.66666665169896533</v>
      </c>
    </row>
    <row r="17" spans="2:16" ht="14" thickBot="1" x14ac:dyDescent="0.25">
      <c r="B17" s="14"/>
      <c r="C17" s="16"/>
      <c r="D17" s="16"/>
      <c r="E17" s="18"/>
      <c r="F17" s="20"/>
      <c r="H17" s="5" t="s">
        <v>36</v>
      </c>
      <c r="I17" s="63">
        <f>1-I16</f>
        <v>0.33333333333333337</v>
      </c>
      <c r="J17" s="64">
        <f>+SUM(E21:E22)</f>
        <v>0.33333334830103467</v>
      </c>
    </row>
    <row r="18" spans="2:16" ht="14" thickBot="1" x14ac:dyDescent="0.25">
      <c r="B18" s="65" t="s">
        <v>53</v>
      </c>
      <c r="C18" s="66">
        <v>30000</v>
      </c>
      <c r="D18" s="66">
        <f>+C18</f>
        <v>30000</v>
      </c>
      <c r="E18" s="67">
        <f t="shared" ref="E18:E22" si="0">+C18/$C$23</f>
        <v>0.19580419418703993</v>
      </c>
      <c r="F18" s="68">
        <f t="shared" ref="F18" si="1">+E9</f>
        <v>0.1</v>
      </c>
      <c r="P18" s="69"/>
    </row>
    <row r="19" spans="2:16" ht="14" thickBot="1" x14ac:dyDescent="0.25">
      <c r="B19" s="65" t="s">
        <v>55</v>
      </c>
      <c r="C19" s="66">
        <v>50000</v>
      </c>
      <c r="D19" s="66">
        <f>+C19*(1-2%)</f>
        <v>49000</v>
      </c>
      <c r="E19" s="67">
        <f t="shared" si="0"/>
        <v>0.32634032364506654</v>
      </c>
      <c r="F19" s="68">
        <f>+E10</f>
        <v>0.11</v>
      </c>
      <c r="H19" s="70" t="s">
        <v>27</v>
      </c>
      <c r="I19" s="71">
        <f>+SUMPRODUCT(E18:E22,F18:F22)</f>
        <v>0.12282051332883956</v>
      </c>
      <c r="J19" s="40" t="s">
        <v>63</v>
      </c>
      <c r="P19" s="69"/>
    </row>
    <row r="20" spans="2:16" ht="14" thickBot="1" x14ac:dyDescent="0.25">
      <c r="B20" s="65" t="s">
        <v>57</v>
      </c>
      <c r="C20" s="66">
        <v>22142.855693194026</v>
      </c>
      <c r="D20" s="66">
        <f>+C20*(1-10%)</f>
        <v>19928.570123874622</v>
      </c>
      <c r="E20" s="67">
        <f t="shared" si="0"/>
        <v>0.14452213386685883</v>
      </c>
      <c r="F20" s="68">
        <f>+E11</f>
        <v>0.12</v>
      </c>
      <c r="H20" s="70" t="s">
        <v>27</v>
      </c>
      <c r="I20" s="71">
        <f>+(1+I19)^(0.25)-1</f>
        <v>2.9384405271803749E-2</v>
      </c>
      <c r="J20" s="40" t="s">
        <v>28</v>
      </c>
      <c r="P20" s="69"/>
    </row>
    <row r="21" spans="2:16" x14ac:dyDescent="0.2">
      <c r="B21" s="65" t="s">
        <v>58</v>
      </c>
      <c r="C21" s="66">
        <v>51071.43128649555</v>
      </c>
      <c r="D21" s="66">
        <f>+C21</f>
        <v>51071.43128649555</v>
      </c>
      <c r="E21" s="67">
        <f t="shared" si="0"/>
        <v>0.33333334830103467</v>
      </c>
      <c r="F21" s="68">
        <f>+E12</f>
        <v>0.15</v>
      </c>
      <c r="H21" s="72"/>
      <c r="I21" s="67"/>
      <c r="P21" s="69"/>
    </row>
    <row r="22" spans="2:16" ht="14" thickBot="1" x14ac:dyDescent="0.25">
      <c r="B22" s="65" t="s">
        <v>60</v>
      </c>
      <c r="C22" s="66">
        <v>0</v>
      </c>
      <c r="D22" s="66">
        <f>+C22*(1-5%)</f>
        <v>0</v>
      </c>
      <c r="E22" s="67">
        <f t="shared" si="0"/>
        <v>0</v>
      </c>
      <c r="F22" s="68">
        <f>+E13</f>
        <v>0.16</v>
      </c>
      <c r="I22" s="67"/>
      <c r="P22" s="69"/>
    </row>
    <row r="23" spans="2:16" ht="14" thickBot="1" x14ac:dyDescent="0.25">
      <c r="B23" s="60" t="s">
        <v>26</v>
      </c>
      <c r="C23" s="73">
        <f t="shared" ref="C23:D23" si="2">+SUM(C18:C22)</f>
        <v>153214.28697968958</v>
      </c>
      <c r="D23" s="73">
        <f t="shared" si="2"/>
        <v>150000.00141037017</v>
      </c>
      <c r="E23" s="74">
        <f>+SUM(E18:E22)</f>
        <v>1</v>
      </c>
      <c r="F23" s="75"/>
    </row>
  </sheetData>
  <mergeCells count="20">
    <mergeCell ref="B16:B17"/>
    <mergeCell ref="C16:C17"/>
    <mergeCell ref="D16:D17"/>
    <mergeCell ref="E16:E17"/>
    <mergeCell ref="F16:F17"/>
    <mergeCell ref="B11:C11"/>
    <mergeCell ref="F11:J11"/>
    <mergeCell ref="B12:C12"/>
    <mergeCell ref="F12:J12"/>
    <mergeCell ref="B13:C13"/>
    <mergeCell ref="F13:J13"/>
    <mergeCell ref="B10:C10"/>
    <mergeCell ref="F10:J10"/>
    <mergeCell ref="L6:M7"/>
    <mergeCell ref="B7:C7"/>
    <mergeCell ref="F7:J7"/>
    <mergeCell ref="B8:C8"/>
    <mergeCell ref="F8:J8"/>
    <mergeCell ref="B9:C9"/>
    <mergeCell ref="F9:J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WACC (Ejemplo 1)</vt:lpstr>
      <vt:lpstr>WACC (Ejemplo 2) - Sin Res.</vt:lpstr>
      <vt:lpstr>WACC (Ejemplo 2) - Con Res.</vt:lpstr>
      <vt:lpstr>WACC (Ejemplo 3)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Joseph Sanchez Oyola</dc:creator>
  <cp:keywords/>
  <dc:description/>
  <cp:lastModifiedBy>Andrea Yohana Cortes Mojica</cp:lastModifiedBy>
  <cp:revision/>
  <dcterms:created xsi:type="dcterms:W3CDTF">2019-10-24T14:03:51Z</dcterms:created>
  <dcterms:modified xsi:type="dcterms:W3CDTF">2026-10-02T01:03:27Z</dcterms:modified>
  <cp:category/>
  <cp:contentStatus/>
</cp:coreProperties>
</file>