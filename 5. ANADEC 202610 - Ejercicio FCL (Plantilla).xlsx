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uniandes-my.sharepoint.com/personal/cursoanadec_uniandes_edu_co/Documents/ANADEC/ANADEC 2026-10/4. Presentaciones/5. Módulo 5 - Flujo de Caja Libre/"/>
    </mc:Choice>
  </mc:AlternateContent>
  <xr:revisionPtr revIDLastSave="135" documentId="13_ncr:1_{CBD5A44B-E84B-404A-876A-0D3E107E48AA}" xr6:coauthVersionLast="47" xr6:coauthVersionMax="47" xr10:uidLastSave="{19941F9F-D839-44C1-99F2-6E85D930E156}"/>
  <bookViews>
    <workbookView xWindow="0" yWindow="760" windowWidth="38400" windowHeight="24100" xr2:uid="{00000000-000D-0000-FFFF-FFFF00000000}"/>
  </bookViews>
  <sheets>
    <sheet name="FC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 l="1"/>
  <c r="I18" i="1"/>
  <c r="F26" i="1"/>
  <c r="G23" i="1" l="1"/>
  <c r="H24" i="1"/>
  <c r="I24" i="1" s="1"/>
  <c r="J24" i="1" s="1"/>
  <c r="K24" i="1" s="1"/>
  <c r="G24" i="1"/>
  <c r="H23" i="1" l="1"/>
  <c r="G6" i="1"/>
  <c r="G9" i="1" s="1"/>
  <c r="G25" i="1"/>
  <c r="G26" i="1"/>
  <c r="G31" i="1"/>
  <c r="G11" i="1" l="1"/>
  <c r="G16" i="1" s="1"/>
  <c r="I23" i="1"/>
  <c r="H25" i="1"/>
  <c r="H6" i="1"/>
  <c r="H9" i="1" s="1"/>
  <c r="H26" i="1"/>
  <c r="H31" i="1"/>
  <c r="H11" i="1" l="1"/>
  <c r="H16" i="1" s="1"/>
  <c r="J23" i="1"/>
  <c r="I25" i="1"/>
  <c r="I6" i="1"/>
  <c r="I9" i="1" s="1"/>
  <c r="I26" i="1"/>
  <c r="I31" i="1"/>
  <c r="I11" i="1" l="1"/>
  <c r="I16" i="1" s="1"/>
  <c r="K23" i="1"/>
  <c r="J25" i="1"/>
  <c r="J6" i="1"/>
  <c r="J9" i="1" s="1"/>
  <c r="J26" i="1"/>
  <c r="J31" i="1"/>
  <c r="J11" i="1" l="1"/>
  <c r="J16" i="1" s="1"/>
  <c r="K25" i="1"/>
  <c r="K6" i="1"/>
  <c r="K9" i="1" s="1"/>
  <c r="K26" i="1"/>
  <c r="K31" i="1"/>
  <c r="K11" i="1" l="1"/>
  <c r="K16" i="1" s="1"/>
  <c r="L31" i="1"/>
  <c r="F19" i="1" l="1"/>
  <c r="F18" i="1"/>
  <c r="M31" i="1"/>
  <c r="N31" i="1" l="1"/>
  <c r="O31" i="1" l="1"/>
</calcChain>
</file>

<file path=xl/sharedStrings.xml><?xml version="1.0" encoding="utf-8"?>
<sst xmlns="http://schemas.openxmlformats.org/spreadsheetml/2006/main" count="30" uniqueCount="28">
  <si>
    <r>
      <rPr>
        <b/>
        <sz val="11"/>
        <color theme="9" tint="-0.249977111117893"/>
        <rFont val="Century Gothic"/>
        <family val="2"/>
      </rPr>
      <t xml:space="preserve">Usted va a invertir en un proyecto de inversión a cinco (5) años donde venderá ropa deportiva.
Para llevar a cabo el proyecto, se debe hacer una inversión en el año 0 por concepto de maquinaria de confección avaluada en 100 millones de dólares. Esta maquinaria se deprecia en línea recta a 10 años con valor de salvamento de 10 millones de dólares. Usted espera vender la maquinaria en 50 millones de dólares al finalizar el proyecto de inversión.
Se estima que las ventas totales de ropa deportiva para el primer año de operación sean de 45 millones de dólares y a partir del segundo año, se incrementen 2% con respecto al año anterior.
Se estima que los costos operacionales sean el 40% de los ingresos, que la nómina sea de 4 millones de dólares y que el arriendo del local sea de 8 millones de dólares. Estos dos últimos serán constantes durante toda la vida útil del proyecto de inversión.
En el año 0 usted debe comprar inventario de materia prima por 5 millones de dólares. Este inventario se mantendrá constante durante toda la vida útil del proyecto de inversión. 
Cada año, las cuentas por cobrar serán el 20% de los ingresos.
El periodo de pago (días) es de 162 días con respecto al costo de ventas. Asuma que un año tiene 360 días.
Su costo de oportunidad es del 5% E.S. y la tasa impositiva es del 35%.
</t>
    </r>
    <r>
      <rPr>
        <b/>
        <sz val="11"/>
        <color rgb="FFFF0000"/>
        <rFont val="Century Gothic"/>
        <family val="2"/>
      </rPr>
      <t xml:space="preserve">
</t>
    </r>
    <r>
      <rPr>
        <b/>
        <sz val="11"/>
        <color rgb="FFC00000"/>
        <rFont val="Century Gothic"/>
        <family val="1"/>
      </rPr>
      <t>¿Debería realizar el proyecto?</t>
    </r>
  </si>
  <si>
    <t>Flujo de Caja Libre</t>
  </si>
  <si>
    <t>Periodo</t>
  </si>
  <si>
    <t>Ingresos Operacionales</t>
  </si>
  <si>
    <t>(-) Costo de Ventas</t>
  </si>
  <si>
    <t>Utilidad Bruta</t>
  </si>
  <si>
    <t>(-) Gastos AOM</t>
  </si>
  <si>
    <t>(-) Depreciación</t>
  </si>
  <si>
    <t>Utilidad Operacional</t>
  </si>
  <si>
    <t>(+) Depreciación</t>
  </si>
  <si>
    <t>EBITDA</t>
  </si>
  <si>
    <t>(-) Variación WK</t>
  </si>
  <si>
    <t>(-) Variación CAPEX</t>
  </si>
  <si>
    <t>(-) Impuesto Operacional</t>
  </si>
  <si>
    <t>(-) Impuesto Ocasional</t>
  </si>
  <si>
    <t>FCL</t>
  </si>
  <si>
    <t>VPN</t>
  </si>
  <si>
    <t>C.O. (EA)</t>
  </si>
  <si>
    <t>TIR</t>
  </si>
  <si>
    <t>Tasa Impositiva</t>
  </si>
  <si>
    <t>Capital de Trabajo</t>
  </si>
  <si>
    <t>CxC</t>
  </si>
  <si>
    <t>Inventario</t>
  </si>
  <si>
    <t>CxP</t>
  </si>
  <si>
    <t>WK</t>
  </si>
  <si>
    <t>Depreciación del Periodo</t>
  </si>
  <si>
    <t xml:space="preserve">Depreciación Acumulada </t>
  </si>
  <si>
    <t>Valor en Libros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</si>
</sst>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quot;$&quot;\ * #,##0_-;\-&quot;$&quot;\ * #,##0_-;_-&quot;$&quot;\ * &quot;-&quot;_-;_-@_-"/>
    <numFmt numFmtId="166" formatCode="&quot;$&quot;\ #,##0.00"/>
    <numFmt numFmtId="167" formatCode="_-&quot;$&quot;\ * #,##0.00_-;\-&quot;$&quot;\ * #,##0.00_-;_-&quot;$&quot;\ * &quot;-&quot;_-;_-@_-"/>
  </numFmts>
  <fonts count="14">
    <font>
      <sz val="11"/>
      <color theme="1"/>
      <name val="Calibri"/>
      <family val="2"/>
      <scheme val="minor"/>
    </font>
    <font>
      <sz val="11"/>
      <color theme="1"/>
      <name val="Calibri"/>
      <family val="2"/>
      <scheme val="minor"/>
    </font>
    <font>
      <sz val="11"/>
      <color theme="1"/>
      <name val="Century Gothic"/>
      <family val="2"/>
    </font>
    <font>
      <sz val="11"/>
      <color rgb="FF000000"/>
      <name val="Century Gothic"/>
      <family val="2"/>
    </font>
    <font>
      <sz val="11"/>
      <name val="Century Gothic"/>
      <family val="2"/>
    </font>
    <font>
      <b/>
      <sz val="11"/>
      <color theme="1"/>
      <name val="Century Gothic"/>
      <family val="2"/>
    </font>
    <font>
      <b/>
      <sz val="11"/>
      <color rgb="FFFF0000"/>
      <name val="Century Gothic"/>
      <family val="2"/>
    </font>
    <font>
      <b/>
      <sz val="11"/>
      <color theme="9" tint="-0.249977111117893"/>
      <name val="Century Gothic"/>
      <family val="2"/>
    </font>
    <font>
      <b/>
      <sz val="11"/>
      <color theme="0"/>
      <name val="Century Gothic"/>
      <family val="2"/>
    </font>
    <font>
      <b/>
      <sz val="11"/>
      <color rgb="FFC00000"/>
      <name val="Century Gothic"/>
      <family val="1"/>
    </font>
    <font>
      <b/>
      <sz val="11"/>
      <color rgb="FFFFFFFF"/>
      <name val="Century Gothic"/>
      <family val="1"/>
    </font>
    <font>
      <b/>
      <sz val="11"/>
      <color theme="0"/>
      <name val="Century Gothic"/>
      <family val="1"/>
    </font>
    <font>
      <b/>
      <sz val="11"/>
      <color theme="9" tint="-0.249977111117893"/>
      <name val="Century Gothic"/>
      <family val="1"/>
    </font>
    <font>
      <sz val="11"/>
      <color rgb="FFFF0000"/>
      <name val="Century Gothic"/>
      <family val="2"/>
    </font>
  </fonts>
  <fills count="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s>
  <borders count="6">
    <border>
      <left/>
      <right/>
      <top/>
      <bottom/>
      <diagonal/>
    </border>
    <border>
      <left/>
      <right style="double">
        <color theme="9" tint="-0.249977111117893"/>
      </right>
      <top/>
      <bottom/>
      <diagonal/>
    </border>
    <border>
      <left/>
      <right/>
      <top/>
      <bottom style="double">
        <color theme="9" tint="-0.249977111117893"/>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style="medium">
        <color theme="9" tint="-0.499984740745262"/>
      </left>
      <right style="medium">
        <color theme="9" tint="-0.499984740745262"/>
      </right>
      <top/>
      <bottom style="medium">
        <color theme="9" tint="-0.499984740745262"/>
      </bottom>
      <diagonal/>
    </border>
  </borders>
  <cellStyleXfs count="3">
    <xf numFmtId="0" fontId="0" fillId="0" borderId="0"/>
    <xf numFmtId="9" fontId="1" fillId="0" borderId="0" applyFont="0" applyFill="0" applyBorder="0" applyAlignment="0" applyProtection="0"/>
    <xf numFmtId="165" fontId="1" fillId="0" borderId="0" applyFont="0" applyFill="0" applyBorder="0" applyAlignment="0" applyProtection="0"/>
  </cellStyleXfs>
  <cellXfs count="34">
    <xf numFmtId="0" fontId="0" fillId="0" borderId="0" xfId="0"/>
    <xf numFmtId="0" fontId="2" fillId="2" borderId="0" xfId="0" applyFont="1" applyFill="1"/>
    <xf numFmtId="0" fontId="3" fillId="2" borderId="0" xfId="0" applyFont="1" applyFill="1" applyAlignment="1">
      <alignment horizontal="left" wrapText="1" readingOrder="1"/>
    </xf>
    <xf numFmtId="0" fontId="2" fillId="2" borderId="1" xfId="0" applyFont="1" applyFill="1" applyBorder="1"/>
    <xf numFmtId="0" fontId="7" fillId="2" borderId="0" xfId="0" applyFont="1" applyFill="1" applyAlignment="1">
      <alignment horizontal="left" wrapText="1" readingOrder="1"/>
    </xf>
    <xf numFmtId="0" fontId="7" fillId="2" borderId="0" xfId="0" applyFont="1" applyFill="1"/>
    <xf numFmtId="166" fontId="3" fillId="2" borderId="0" xfId="0" applyNumberFormat="1" applyFont="1" applyFill="1" applyAlignment="1">
      <alignment horizontal="center" wrapText="1" readingOrder="1"/>
    </xf>
    <xf numFmtId="166" fontId="2" fillId="2" borderId="0" xfId="0" applyNumberFormat="1" applyFont="1" applyFill="1"/>
    <xf numFmtId="0" fontId="3" fillId="2" borderId="2" xfId="0" applyFont="1" applyFill="1" applyBorder="1" applyAlignment="1">
      <alignment horizontal="left" wrapText="1" readingOrder="1"/>
    </xf>
    <xf numFmtId="166" fontId="4" fillId="2" borderId="0" xfId="0" applyNumberFormat="1" applyFont="1" applyFill="1" applyAlignment="1">
      <alignment horizontal="center" vertical="center" wrapText="1"/>
    </xf>
    <xf numFmtId="166" fontId="4" fillId="2" borderId="2" xfId="0" applyNumberFormat="1" applyFont="1" applyFill="1" applyBorder="1" applyAlignment="1">
      <alignment horizontal="center" vertical="center" wrapText="1"/>
    </xf>
    <xf numFmtId="10" fontId="2" fillId="2" borderId="0" xfId="1" applyNumberFormat="1" applyFont="1" applyFill="1"/>
    <xf numFmtId="0" fontId="10" fillId="3" borderId="0" xfId="0" applyFont="1" applyFill="1" applyAlignment="1">
      <alignment horizontal="center" wrapText="1" readingOrder="1"/>
    </xf>
    <xf numFmtId="0" fontId="11" fillId="3" borderId="0" xfId="0" applyFont="1" applyFill="1" applyAlignment="1">
      <alignment horizontal="center" wrapText="1" readingOrder="1"/>
    </xf>
    <xf numFmtId="10" fontId="7" fillId="2" borderId="4" xfId="1" applyNumberFormat="1" applyFont="1" applyFill="1" applyBorder="1" applyAlignment="1">
      <alignment horizontal="center"/>
    </xf>
    <xf numFmtId="0" fontId="8" fillId="3" borderId="3" xfId="0" applyFont="1" applyFill="1" applyBorder="1" applyAlignment="1">
      <alignment horizontal="center"/>
    </xf>
    <xf numFmtId="0" fontId="8" fillId="3" borderId="5" xfId="0" applyFont="1" applyFill="1" applyBorder="1" applyAlignment="1">
      <alignment horizontal="center"/>
    </xf>
    <xf numFmtId="166" fontId="7" fillId="2" borderId="3" xfId="0" applyNumberFormat="1" applyFont="1" applyFill="1" applyBorder="1" applyAlignment="1">
      <alignment horizontal="center"/>
    </xf>
    <xf numFmtId="10" fontId="7" fillId="2" borderId="5" xfId="1" applyNumberFormat="1" applyFont="1" applyFill="1" applyBorder="1" applyAlignment="1">
      <alignment horizontal="center"/>
    </xf>
    <xf numFmtId="165" fontId="2" fillId="2" borderId="0" xfId="2" applyFont="1" applyFill="1"/>
    <xf numFmtId="167" fontId="2" fillId="2" borderId="0" xfId="2" applyNumberFormat="1" applyFont="1" applyFill="1"/>
    <xf numFmtId="167" fontId="3" fillId="2" borderId="0" xfId="0" applyNumberFormat="1" applyFont="1" applyFill="1" applyAlignment="1">
      <alignment horizontal="center" wrapText="1" readingOrder="1"/>
    </xf>
    <xf numFmtId="167" fontId="3" fillId="2" borderId="2" xfId="0" applyNumberFormat="1" applyFont="1" applyFill="1" applyBorder="1" applyAlignment="1">
      <alignment horizontal="center" wrapText="1" readingOrder="1"/>
    </xf>
    <xf numFmtId="167" fontId="7" fillId="2" borderId="0" xfId="0" applyNumberFormat="1" applyFont="1" applyFill="1" applyAlignment="1">
      <alignment horizontal="center" wrapText="1" readingOrder="1"/>
    </xf>
    <xf numFmtId="167" fontId="2" fillId="2" borderId="0" xfId="0" applyNumberFormat="1" applyFont="1" applyFill="1"/>
    <xf numFmtId="167" fontId="7" fillId="2" borderId="0" xfId="0" applyNumberFormat="1" applyFont="1" applyFill="1"/>
    <xf numFmtId="167" fontId="7" fillId="2" borderId="0" xfId="0" applyNumberFormat="1" applyFont="1" applyFill="1" applyAlignment="1">
      <alignment horizontal="center"/>
    </xf>
    <xf numFmtId="0" fontId="12" fillId="4" borderId="0" xfId="0" applyFont="1" applyFill="1" applyAlignment="1">
      <alignment horizontal="center" wrapText="1" readingOrder="1"/>
    </xf>
    <xf numFmtId="166" fontId="12" fillId="4" borderId="0" xfId="0" applyNumberFormat="1" applyFont="1" applyFill="1" applyAlignment="1">
      <alignment horizontal="center" wrapText="1" readingOrder="1"/>
    </xf>
    <xf numFmtId="167" fontId="12" fillId="4" borderId="0" xfId="0" applyNumberFormat="1" applyFont="1" applyFill="1" applyAlignment="1">
      <alignment horizontal="center" wrapText="1" readingOrder="1"/>
    </xf>
    <xf numFmtId="164" fontId="2" fillId="2" borderId="0" xfId="0" applyNumberFormat="1" applyFont="1" applyFill="1"/>
    <xf numFmtId="167" fontId="13" fillId="2" borderId="0" xfId="0" applyNumberFormat="1" applyFont="1" applyFill="1"/>
    <xf numFmtId="0" fontId="7" fillId="2" borderId="0" xfId="0" applyFont="1" applyFill="1" applyAlignment="1">
      <alignment horizontal="center"/>
    </xf>
    <xf numFmtId="0" fontId="5" fillId="2" borderId="0" xfId="0" applyFont="1" applyFill="1" applyAlignment="1">
      <alignment horizontal="center" vertical="center" wrapText="1"/>
    </xf>
  </cellXfs>
  <cellStyles count="3">
    <cellStyle name="Moneda [0]" xfId="2" builtinId="7"/>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31"/>
  <sheetViews>
    <sheetView tabSelected="1" zoomScale="138" zoomScaleNormal="85" workbookViewId="0">
      <selection activeCell="L19" sqref="L19"/>
    </sheetView>
  </sheetViews>
  <sheetFormatPr defaultColWidth="11.42578125" defaultRowHeight="14.1"/>
  <cols>
    <col min="1" max="1" width="5.7109375" style="1" customWidth="1"/>
    <col min="2" max="2" width="78.28515625" style="1" customWidth="1"/>
    <col min="3" max="4" width="5.7109375" style="1" customWidth="1"/>
    <col min="5" max="5" width="39.28515625" style="1" bestFit="1" customWidth="1"/>
    <col min="6" max="7" width="12.7109375" style="1" customWidth="1"/>
    <col min="8" max="8" width="16.42578125" style="1" bestFit="1" customWidth="1"/>
    <col min="9" max="11" width="12.7109375" style="1" customWidth="1"/>
    <col min="12" max="16384" width="11.42578125" style="1"/>
  </cols>
  <sheetData>
    <row r="1" spans="2:12">
      <c r="C1" s="3"/>
    </row>
    <row r="2" spans="2:12" ht="17.45" customHeight="1">
      <c r="B2" s="33" t="s">
        <v>0</v>
      </c>
      <c r="C2" s="3"/>
      <c r="E2" s="32" t="s">
        <v>1</v>
      </c>
      <c r="F2" s="32"/>
      <c r="G2" s="32"/>
      <c r="H2" s="32"/>
      <c r="I2" s="32"/>
      <c r="J2" s="32"/>
      <c r="K2" s="32"/>
    </row>
    <row r="3" spans="2:12" ht="17.45" customHeight="1">
      <c r="B3" s="33"/>
      <c r="C3" s="3"/>
      <c r="E3" s="12" t="s">
        <v>2</v>
      </c>
      <c r="F3" s="12">
        <v>0</v>
      </c>
      <c r="G3" s="12">
        <v>1</v>
      </c>
      <c r="H3" s="12">
        <v>2</v>
      </c>
      <c r="I3" s="12">
        <v>3</v>
      </c>
      <c r="J3" s="12">
        <v>4</v>
      </c>
      <c r="K3" s="12">
        <v>5</v>
      </c>
    </row>
    <row r="4" spans="2:12" ht="17.45" customHeight="1">
      <c r="B4" s="33"/>
      <c r="C4" s="3"/>
      <c r="E4" s="2" t="s">
        <v>3</v>
      </c>
      <c r="F4" s="21">
        <v>0</v>
      </c>
      <c r="G4" s="20"/>
      <c r="H4" s="21"/>
      <c r="I4" s="21"/>
      <c r="J4" s="21"/>
      <c r="K4" s="21"/>
    </row>
    <row r="5" spans="2:12" ht="17.45" customHeight="1">
      <c r="B5" s="33"/>
      <c r="C5" s="3"/>
      <c r="E5" s="8" t="s">
        <v>4</v>
      </c>
      <c r="F5" s="22">
        <v>0</v>
      </c>
      <c r="G5" s="22"/>
      <c r="H5" s="22"/>
      <c r="I5" s="22"/>
      <c r="J5" s="22"/>
      <c r="K5" s="22"/>
    </row>
    <row r="6" spans="2:12" ht="17.45" customHeight="1" thickTop="1">
      <c r="B6" s="33"/>
      <c r="C6" s="3"/>
      <c r="E6" s="4" t="s">
        <v>5</v>
      </c>
      <c r="F6" s="23"/>
      <c r="G6" s="23">
        <f>G4-G5</f>
        <v>0</v>
      </c>
      <c r="H6" s="23">
        <f t="shared" ref="H6:K6" si="0">H4-H5</f>
        <v>0</v>
      </c>
      <c r="I6" s="23">
        <f t="shared" si="0"/>
        <v>0</v>
      </c>
      <c r="J6" s="23">
        <f t="shared" si="0"/>
        <v>0</v>
      </c>
      <c r="K6" s="23">
        <f t="shared" si="0"/>
        <v>0</v>
      </c>
    </row>
    <row r="7" spans="2:12" ht="17.45" customHeight="1">
      <c r="B7" s="33"/>
      <c r="C7" s="3"/>
      <c r="E7" s="1" t="s">
        <v>6</v>
      </c>
      <c r="F7" s="31"/>
      <c r="G7" s="24"/>
      <c r="H7" s="24"/>
      <c r="I7" s="24"/>
      <c r="J7" s="24"/>
      <c r="K7" s="24"/>
    </row>
    <row r="8" spans="2:12" ht="17.45" customHeight="1">
      <c r="B8" s="33"/>
      <c r="C8" s="3"/>
      <c r="E8" s="8" t="s">
        <v>7</v>
      </c>
      <c r="F8" s="22"/>
      <c r="G8" s="22"/>
      <c r="H8" s="22"/>
      <c r="I8" s="22"/>
      <c r="J8" s="22"/>
      <c r="K8" s="22"/>
    </row>
    <row r="9" spans="2:12" ht="17.45" customHeight="1">
      <c r="B9" s="33"/>
      <c r="C9" s="3"/>
      <c r="E9" s="4" t="s">
        <v>8</v>
      </c>
      <c r="F9" s="23"/>
      <c r="G9" s="23">
        <f>G6-G7-G8</f>
        <v>0</v>
      </c>
      <c r="H9" s="23">
        <f t="shared" ref="H9:K9" si="1">H6-H7-H8</f>
        <v>0</v>
      </c>
      <c r="I9" s="23">
        <f t="shared" si="1"/>
        <v>0</v>
      </c>
      <c r="J9" s="23">
        <f t="shared" si="1"/>
        <v>0</v>
      </c>
      <c r="K9" s="23">
        <f t="shared" si="1"/>
        <v>0</v>
      </c>
    </row>
    <row r="10" spans="2:12" ht="17.45" customHeight="1">
      <c r="B10" s="33"/>
      <c r="C10" s="3"/>
      <c r="E10" s="8" t="s">
        <v>9</v>
      </c>
      <c r="F10" s="22"/>
      <c r="G10" s="22"/>
      <c r="H10" s="22"/>
      <c r="I10" s="22"/>
      <c r="J10" s="22"/>
      <c r="K10" s="22"/>
      <c r="L10" s="7"/>
    </row>
    <row r="11" spans="2:12" ht="17.45" customHeight="1" thickTop="1">
      <c r="B11" s="33"/>
      <c r="C11" s="3"/>
      <c r="E11" s="5" t="s">
        <v>10</v>
      </c>
      <c r="F11" s="25"/>
      <c r="G11" s="26">
        <f>G9+G10</f>
        <v>0</v>
      </c>
      <c r="H11" s="26">
        <f t="shared" ref="H11:K11" si="2">H9+H10</f>
        <v>0</v>
      </c>
      <c r="I11" s="26">
        <f t="shared" si="2"/>
        <v>0</v>
      </c>
      <c r="J11" s="26">
        <f t="shared" si="2"/>
        <v>0</v>
      </c>
      <c r="K11" s="26">
        <f t="shared" si="2"/>
        <v>0</v>
      </c>
    </row>
    <row r="12" spans="2:12" ht="17.45" customHeight="1">
      <c r="B12" s="33"/>
      <c r="C12" s="3"/>
      <c r="E12" s="2" t="s">
        <v>11</v>
      </c>
      <c r="F12" s="21"/>
      <c r="G12" s="21"/>
      <c r="H12" s="21"/>
      <c r="I12" s="21"/>
      <c r="J12" s="21"/>
      <c r="K12" s="21"/>
    </row>
    <row r="13" spans="2:12" ht="17.45" customHeight="1">
      <c r="B13" s="33"/>
      <c r="C13" s="3"/>
      <c r="E13" s="2" t="s">
        <v>12</v>
      </c>
      <c r="F13" s="21"/>
      <c r="G13" s="21"/>
      <c r="H13" s="21"/>
      <c r="I13" s="21"/>
      <c r="J13" s="21"/>
      <c r="K13" s="22"/>
    </row>
    <row r="14" spans="2:12" ht="17.45" customHeight="1" thickTop="1">
      <c r="B14" s="33"/>
      <c r="C14" s="3"/>
      <c r="E14" s="2" t="s">
        <v>13</v>
      </c>
      <c r="G14" s="30"/>
      <c r="H14" s="30"/>
      <c r="I14" s="30"/>
      <c r="J14" s="30"/>
      <c r="K14" s="30"/>
    </row>
    <row r="15" spans="2:12" ht="17.45" customHeight="1" thickBot="1">
      <c r="B15" s="33"/>
      <c r="C15" s="3"/>
      <c r="E15" s="8" t="s">
        <v>14</v>
      </c>
      <c r="F15" s="22"/>
      <c r="G15" s="22"/>
      <c r="H15" s="22"/>
      <c r="I15" s="22"/>
      <c r="J15" s="22"/>
      <c r="K15" s="30"/>
    </row>
    <row r="16" spans="2:12" ht="17.45" customHeight="1" thickTop="1">
      <c r="B16" s="33"/>
      <c r="C16" s="3"/>
      <c r="E16" s="27" t="s">
        <v>15</v>
      </c>
      <c r="F16" s="29">
        <f>F11-F12-F13-F14-F15</f>
        <v>0</v>
      </c>
      <c r="G16" s="29">
        <f t="shared" ref="G16:K16" si="3">G11-G12-G13-G14-G15</f>
        <v>0</v>
      </c>
      <c r="H16" s="29">
        <f t="shared" si="3"/>
        <v>0</v>
      </c>
      <c r="I16" s="29">
        <f t="shared" si="3"/>
        <v>0</v>
      </c>
      <c r="J16" s="29">
        <f t="shared" si="3"/>
        <v>0</v>
      </c>
      <c r="K16" s="29">
        <f t="shared" si="3"/>
        <v>0</v>
      </c>
    </row>
    <row r="17" spans="2:16" ht="17.45" customHeight="1" thickBot="1">
      <c r="B17" s="33"/>
      <c r="C17" s="3"/>
    </row>
    <row r="18" spans="2:16" ht="17.45" customHeight="1" thickBot="1">
      <c r="B18" s="33"/>
      <c r="C18" s="3"/>
      <c r="E18" s="15" t="s">
        <v>16</v>
      </c>
      <c r="F18" s="17">
        <f>NPV(I18,G16:K16)+F16</f>
        <v>0</v>
      </c>
      <c r="H18" s="15" t="s">
        <v>17</v>
      </c>
      <c r="I18" s="14">
        <f>((1+5%)^2) -1</f>
        <v>0.10250000000000004</v>
      </c>
    </row>
    <row r="19" spans="2:16" ht="17.45" customHeight="1" thickBot="1">
      <c r="B19" s="33"/>
      <c r="C19" s="3"/>
      <c r="E19" s="16" t="s">
        <v>18</v>
      </c>
      <c r="F19" s="18" t="e">
        <f>IRR(F16:K16)</f>
        <v>#NUM!</v>
      </c>
      <c r="H19" s="15" t="s">
        <v>19</v>
      </c>
      <c r="I19" s="14">
        <v>0.35</v>
      </c>
    </row>
    <row r="20" spans="2:16" ht="17.45" customHeight="1">
      <c r="B20" s="33"/>
      <c r="C20" s="3"/>
    </row>
    <row r="21" spans="2:16" ht="17.45" customHeight="1">
      <c r="B21" s="33"/>
      <c r="C21" s="3"/>
      <c r="E21" s="32" t="s">
        <v>20</v>
      </c>
      <c r="F21" s="32"/>
      <c r="G21" s="32"/>
      <c r="H21" s="32"/>
      <c r="I21" s="32"/>
      <c r="J21" s="32"/>
      <c r="K21" s="32"/>
    </row>
    <row r="22" spans="2:16" ht="17.45" customHeight="1">
      <c r="B22" s="33"/>
      <c r="C22" s="3"/>
      <c r="E22" s="13" t="s">
        <v>2</v>
      </c>
      <c r="F22" s="13">
        <v>0</v>
      </c>
      <c r="G22" s="13">
        <v>1</v>
      </c>
      <c r="H22" s="13">
        <v>2</v>
      </c>
      <c r="I22" s="13">
        <v>3</v>
      </c>
      <c r="J22" s="13">
        <v>4</v>
      </c>
      <c r="K22" s="13">
        <v>5</v>
      </c>
    </row>
    <row r="23" spans="2:16" ht="17.45" customHeight="1">
      <c r="B23" s="33"/>
      <c r="C23" s="3"/>
      <c r="E23" s="2" t="s">
        <v>21</v>
      </c>
      <c r="F23" s="9">
        <v>0</v>
      </c>
      <c r="G23" s="9">
        <f>G4*20%</f>
        <v>0</v>
      </c>
      <c r="H23" s="9">
        <f t="shared" ref="H23:K23" si="4">H4*20%</f>
        <v>0</v>
      </c>
      <c r="I23" s="9">
        <f t="shared" si="4"/>
        <v>0</v>
      </c>
      <c r="J23" s="9">
        <f t="shared" si="4"/>
        <v>0</v>
      </c>
      <c r="K23" s="9">
        <f t="shared" si="4"/>
        <v>0</v>
      </c>
    </row>
    <row r="24" spans="2:16" ht="17.45" customHeight="1">
      <c r="B24" s="33"/>
      <c r="C24" s="3"/>
      <c r="E24" s="2" t="s">
        <v>22</v>
      </c>
      <c r="F24" s="6">
        <v>5</v>
      </c>
      <c r="G24" s="6">
        <f>F24</f>
        <v>5</v>
      </c>
      <c r="H24" s="6">
        <f t="shared" ref="H24:K24" si="5">G24</f>
        <v>5</v>
      </c>
      <c r="I24" s="6">
        <f t="shared" si="5"/>
        <v>5</v>
      </c>
      <c r="J24" s="6">
        <f t="shared" si="5"/>
        <v>5</v>
      </c>
      <c r="K24" s="6">
        <f t="shared" si="5"/>
        <v>5</v>
      </c>
    </row>
    <row r="25" spans="2:16" ht="17.45" customHeight="1" thickBot="1">
      <c r="B25" s="33"/>
      <c r="C25" s="3"/>
      <c r="E25" s="8" t="s">
        <v>23</v>
      </c>
      <c r="F25" s="10">
        <v>0</v>
      </c>
      <c r="G25" s="10">
        <f>(162*G5)/360</f>
        <v>0</v>
      </c>
      <c r="H25" s="10">
        <f t="shared" ref="H25:K25" si="6">(162*H5)/360</f>
        <v>0</v>
      </c>
      <c r="I25" s="10">
        <f t="shared" si="6"/>
        <v>0</v>
      </c>
      <c r="J25" s="10">
        <f t="shared" si="6"/>
        <v>0</v>
      </c>
      <c r="K25" s="10">
        <f t="shared" si="6"/>
        <v>0</v>
      </c>
    </row>
    <row r="26" spans="2:16" ht="17.45" customHeight="1" thickTop="1">
      <c r="B26" s="33"/>
      <c r="C26" s="3"/>
      <c r="E26" s="27" t="s">
        <v>24</v>
      </c>
      <c r="F26" s="28">
        <f>F23+F24-F25</f>
        <v>5</v>
      </c>
      <c r="G26" s="28">
        <f t="shared" ref="G26:K26" si="7">G23+G24-G25</f>
        <v>5</v>
      </c>
      <c r="H26" s="28">
        <f t="shared" si="7"/>
        <v>5</v>
      </c>
      <c r="I26" s="28">
        <f t="shared" si="7"/>
        <v>5</v>
      </c>
      <c r="J26" s="28">
        <f t="shared" si="7"/>
        <v>5</v>
      </c>
      <c r="K26" s="28">
        <f t="shared" si="7"/>
        <v>5</v>
      </c>
    </row>
    <row r="27" spans="2:16" ht="17.45" customHeight="1">
      <c r="B27" s="33"/>
      <c r="C27" s="3"/>
      <c r="I27" s="11"/>
    </row>
    <row r="28" spans="2:16" ht="17.45" customHeight="1">
      <c r="B28" s="33"/>
      <c r="C28" s="3"/>
      <c r="E28" s="13" t="s">
        <v>2</v>
      </c>
      <c r="F28" s="13">
        <v>0</v>
      </c>
      <c r="G28" s="13">
        <v>1</v>
      </c>
      <c r="H28" s="13">
        <v>2</v>
      </c>
      <c r="I28" s="13">
        <v>3</v>
      </c>
      <c r="J28" s="13">
        <v>4</v>
      </c>
      <c r="K28" s="13">
        <v>5</v>
      </c>
      <c r="L28" s="13">
        <v>6</v>
      </c>
      <c r="M28" s="13">
        <v>7</v>
      </c>
      <c r="N28" s="13">
        <v>8</v>
      </c>
      <c r="O28" s="13">
        <v>9</v>
      </c>
      <c r="P28" s="13">
        <v>10</v>
      </c>
    </row>
    <row r="29" spans="2:16" ht="17.45" customHeight="1">
      <c r="B29" s="33"/>
      <c r="C29" s="3"/>
      <c r="E29" s="1" t="s">
        <v>25</v>
      </c>
      <c r="F29" s="19"/>
      <c r="G29" s="19"/>
      <c r="H29" s="19"/>
      <c r="I29" s="19"/>
      <c r="J29" s="19"/>
      <c r="K29" s="19"/>
      <c r="L29" s="19"/>
      <c r="M29" s="19"/>
      <c r="N29" s="19"/>
      <c r="O29" s="19"/>
      <c r="P29" s="19"/>
    </row>
    <row r="30" spans="2:16">
      <c r="E30" s="1" t="s">
        <v>26</v>
      </c>
      <c r="F30" s="19"/>
      <c r="G30" s="19"/>
      <c r="H30" s="19"/>
      <c r="I30" s="19"/>
      <c r="J30" s="19"/>
      <c r="K30" s="19"/>
      <c r="L30" s="19"/>
      <c r="M30" s="19"/>
      <c r="N30" s="19"/>
      <c r="O30" s="19"/>
      <c r="P30" s="19"/>
    </row>
    <row r="31" spans="2:16">
      <c r="E31" s="1" t="s">
        <v>27</v>
      </c>
      <c r="F31" s="19"/>
      <c r="G31" s="19">
        <f>$F$31-G30</f>
        <v>0</v>
      </c>
      <c r="H31" s="19">
        <f t="shared" ref="H31:O31" si="8">$F$31-H30</f>
        <v>0</v>
      </c>
      <c r="I31" s="19">
        <f t="shared" si="8"/>
        <v>0</v>
      </c>
      <c r="J31" s="19">
        <f t="shared" si="8"/>
        <v>0</v>
      </c>
      <c r="K31" s="19">
        <f t="shared" si="8"/>
        <v>0</v>
      </c>
      <c r="L31" s="19">
        <f t="shared" si="8"/>
        <v>0</v>
      </c>
      <c r="M31" s="19">
        <f t="shared" si="8"/>
        <v>0</v>
      </c>
      <c r="N31" s="19">
        <f t="shared" si="8"/>
        <v>0</v>
      </c>
      <c r="O31" s="19">
        <f t="shared" si="8"/>
        <v>0</v>
      </c>
      <c r="P31" s="19">
        <v>10</v>
      </c>
    </row>
  </sheetData>
  <mergeCells count="3">
    <mergeCell ref="E2:K2"/>
    <mergeCell ref="E21:K21"/>
    <mergeCell ref="B2:B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dc:creator>
  <cp:keywords/>
  <dc:description/>
  <cp:lastModifiedBy>Ricardo Andres Lloreda Palacios</cp:lastModifiedBy>
  <cp:revision/>
  <dcterms:created xsi:type="dcterms:W3CDTF">2020-10-22T02:41:20Z</dcterms:created>
  <dcterms:modified xsi:type="dcterms:W3CDTF">2026-09-07T19:34:40Z</dcterms:modified>
  <cp:category/>
  <cp:contentStatus/>
</cp:coreProperties>
</file>